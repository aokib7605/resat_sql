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okib\Desktop\Files\りざっと\チェックリスト\"/>
    </mc:Choice>
  </mc:AlternateContent>
  <xr:revisionPtr revIDLastSave="0" documentId="13_ncr:1_{74EE7F65-4A16-4F3E-8A47-1AA88EAFDAAB}" xr6:coauthVersionLast="47" xr6:coauthVersionMax="47" xr10:uidLastSave="{00000000-0000-0000-0000-000000000000}"/>
  <bookViews>
    <workbookView xWindow="-108" yWindow="-108" windowWidth="23256" windowHeight="12456" activeTab="3" xr2:uid="{00000000-000D-0000-FFFF-FFFF00000000}"/>
  </bookViews>
  <sheets>
    <sheet name="管理者_ログイン画面" sheetId="1" r:id="rId1"/>
    <sheet name="管理者_新規ユーザー作成画面" sheetId="3" r:id="rId2"/>
    <sheet name="管理者_アカウント作成送信メール" sheetId="4" r:id="rId3"/>
    <sheet name="管理者_ホーム画面" sheetId="5" r:id="rId4"/>
    <sheet name="定義" sheetId="2" r:id="rId5"/>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 i="5" l="1"/>
  <c r="D11" i="5"/>
  <c r="D10" i="5"/>
  <c r="D9" i="5"/>
  <c r="D6" i="5" s="1"/>
  <c r="D8" i="5"/>
  <c r="D7" i="5"/>
  <c r="D58" i="5"/>
  <c r="D57" i="5"/>
  <c r="D56" i="5"/>
  <c r="D53" i="5" s="1"/>
  <c r="D55" i="5"/>
  <c r="D54" i="5"/>
  <c r="D52" i="5"/>
  <c r="D51" i="5"/>
  <c r="D4" i="5"/>
  <c r="D29" i="4"/>
  <c r="D28" i="4"/>
  <c r="D27" i="4"/>
  <c r="D24" i="4" s="1"/>
  <c r="D26" i="4"/>
  <c r="D25" i="4"/>
  <c r="D23" i="4"/>
  <c r="D22" i="4"/>
  <c r="D11" i="4"/>
  <c r="D10" i="4"/>
  <c r="D9" i="4"/>
  <c r="D6" i="4" s="1"/>
  <c r="D8" i="4"/>
  <c r="D7" i="4"/>
  <c r="D5" i="4"/>
  <c r="D4" i="4"/>
  <c r="D94" i="3"/>
  <c r="D93" i="3"/>
  <c r="D92" i="3"/>
  <c r="D89" i="3" s="1"/>
  <c r="D91" i="3"/>
  <c r="D90" i="3"/>
  <c r="D88" i="3"/>
  <c r="D87" i="3"/>
  <c r="D44" i="1"/>
  <c r="D43" i="1"/>
  <c r="D42" i="1"/>
  <c r="D39" i="1" s="1"/>
  <c r="D41" i="1"/>
  <c r="D40" i="1"/>
  <c r="D7" i="1"/>
  <c r="D38" i="1"/>
  <c r="D5" i="1"/>
  <c r="D37" i="1"/>
  <c r="D4" i="1"/>
  <c r="D11" i="3"/>
  <c r="D10" i="3"/>
  <c r="D9" i="3"/>
  <c r="D6" i="3" s="1"/>
  <c r="D8" i="3"/>
  <c r="D7" i="3"/>
  <c r="D5" i="3"/>
  <c r="D4" i="3"/>
  <c r="D11" i="1"/>
  <c r="D10" i="1"/>
  <c r="D9" i="1"/>
  <c r="D6" i="1" s="1"/>
  <c r="D8" i="1"/>
</calcChain>
</file>

<file path=xl/sharedStrings.xml><?xml version="1.0" encoding="utf-8"?>
<sst xmlns="http://schemas.openxmlformats.org/spreadsheetml/2006/main" count="1533" uniqueCount="240">
  <si>
    <t>項番</t>
  </si>
  <si>
    <t>確認内容</t>
  </si>
  <si>
    <t>確認日</t>
  </si>
  <si>
    <t>端末</t>
  </si>
  <si>
    <t>ブラウザ</t>
  </si>
  <si>
    <t>確認ver</t>
  </si>
  <si>
    <t>確認者</t>
  </si>
  <si>
    <t>備考</t>
  </si>
  <si>
    <t>名称</t>
    <rPh sb="0" eb="2">
      <t>メイショウ</t>
    </rPh>
    <phoneticPr fontId="1"/>
  </si>
  <si>
    <t>タイプ</t>
    <phoneticPr fontId="1"/>
  </si>
  <si>
    <t>条件</t>
    <rPh sb="0" eb="2">
      <t>ジョウケン</t>
    </rPh>
    <phoneticPr fontId="1"/>
  </si>
  <si>
    <t>状態</t>
    <rPh sb="0" eb="2">
      <t>ジョウタイ</t>
    </rPh>
    <phoneticPr fontId="1"/>
  </si>
  <si>
    <t>画像</t>
    <rPh sb="0" eb="2">
      <t>ガゾウ</t>
    </rPh>
    <phoneticPr fontId="1"/>
  </si>
  <si>
    <t>-</t>
    <phoneticPr fontId="1"/>
  </si>
  <si>
    <t>期待値</t>
    <rPh sb="0" eb="3">
      <t>キタイチ</t>
    </rPh>
    <phoneticPr fontId="1"/>
  </si>
  <si>
    <t>画面左上に表示されており、画像に欠けや乱れがないこと</t>
    <rPh sb="0" eb="2">
      <t>ガメン</t>
    </rPh>
    <rPh sb="2" eb="4">
      <t>ヒダリウエ</t>
    </rPh>
    <rPh sb="5" eb="7">
      <t>ヒョウジ</t>
    </rPh>
    <rPh sb="13" eb="15">
      <t>ガゾウ</t>
    </rPh>
    <rPh sb="16" eb="17">
      <t>カ</t>
    </rPh>
    <rPh sb="19" eb="20">
      <t>ミダ</t>
    </rPh>
    <phoneticPr fontId="1"/>
  </si>
  <si>
    <t>アプリケーションロゴ</t>
    <phoneticPr fontId="1"/>
  </si>
  <si>
    <t>画面タイトル</t>
    <rPh sb="0" eb="2">
      <t>ガメン</t>
    </rPh>
    <phoneticPr fontId="1"/>
  </si>
  <si>
    <t>見出し</t>
    <rPh sb="0" eb="2">
      <t>ミダ</t>
    </rPh>
    <phoneticPr fontId="1"/>
  </si>
  <si>
    <t>アプリケーションバージョン</t>
    <phoneticPr fontId="1"/>
  </si>
  <si>
    <t>文字列</t>
    <rPh sb="0" eb="3">
      <t>モジレツ</t>
    </rPh>
    <phoneticPr fontId="1"/>
  </si>
  <si>
    <t>画面左下に正しいアプリのバージョンが表示されていること</t>
    <rPh sb="0" eb="2">
      <t>ガメン</t>
    </rPh>
    <rPh sb="2" eb="4">
      <t>ヒダリシタ</t>
    </rPh>
    <rPh sb="5" eb="6">
      <t>タダ</t>
    </rPh>
    <rPh sb="18" eb="20">
      <t>ヒョウジ</t>
    </rPh>
    <phoneticPr fontId="1"/>
  </si>
  <si>
    <t>開発団体</t>
    <rPh sb="0" eb="2">
      <t>カイハツ</t>
    </rPh>
    <rPh sb="2" eb="4">
      <t>ダンタイ</t>
    </rPh>
    <phoneticPr fontId="1"/>
  </si>
  <si>
    <t>画面左下に「開発 劇団抜きにくい釘」と表示されていること</t>
    <rPh sb="0" eb="4">
      <t>ガメンヒダリシタ</t>
    </rPh>
    <rPh sb="19" eb="21">
      <t>ヒョウジ</t>
    </rPh>
    <phoneticPr fontId="1"/>
  </si>
  <si>
    <t>ログイン方法</t>
    <rPh sb="4" eb="6">
      <t>ホウホウ</t>
    </rPh>
    <phoneticPr fontId="1"/>
  </si>
  <si>
    <t>プルダウンボックス</t>
    <phoneticPr fontId="1"/>
  </si>
  <si>
    <t>画面右側にログイン方法を選択するプルダウンボックスが表示されていること</t>
    <rPh sb="9" eb="11">
      <t>ホウホウ</t>
    </rPh>
    <rPh sb="12" eb="14">
      <t>センタク</t>
    </rPh>
    <rPh sb="26" eb="28">
      <t>ヒョウジ</t>
    </rPh>
    <phoneticPr fontId="1"/>
  </si>
  <si>
    <t>オプション</t>
    <phoneticPr fontId="1"/>
  </si>
  <si>
    <t>ログイン方法選択プルダウンボックス内に「ユーザーID」が表示されていること</t>
    <rPh sb="4" eb="6">
      <t>ホウホウ</t>
    </rPh>
    <rPh sb="6" eb="8">
      <t>センタク</t>
    </rPh>
    <rPh sb="17" eb="18">
      <t>ナイ</t>
    </rPh>
    <rPh sb="28" eb="30">
      <t>ヒョウジ</t>
    </rPh>
    <phoneticPr fontId="1"/>
  </si>
  <si>
    <t>ユーザーID</t>
    <phoneticPr fontId="1"/>
  </si>
  <si>
    <t>メールアドレス</t>
    <phoneticPr fontId="1"/>
  </si>
  <si>
    <t>ログイン方法選択プルダウンボックス内に「メールアドレス」が表示されていること</t>
    <rPh sb="4" eb="6">
      <t>ホウホウ</t>
    </rPh>
    <rPh sb="6" eb="8">
      <t>センタク</t>
    </rPh>
    <rPh sb="17" eb="18">
      <t>ナイ</t>
    </rPh>
    <rPh sb="29" eb="31">
      <t>ヒョウジ</t>
    </rPh>
    <phoneticPr fontId="1"/>
  </si>
  <si>
    <t>ログイン方法にて、「ユーザーID」を選択</t>
    <rPh sb="4" eb="6">
      <t>ホウホウ</t>
    </rPh>
    <rPh sb="18" eb="20">
      <t>センタク</t>
    </rPh>
    <phoneticPr fontId="1"/>
  </si>
  <si>
    <t>ログイン方法にて、「メールアドレス」を選択</t>
    <rPh sb="4" eb="6">
      <t>ホウホウ</t>
    </rPh>
    <rPh sb="19" eb="21">
      <t>センタク</t>
    </rPh>
    <phoneticPr fontId="1"/>
  </si>
  <si>
    <t>パスワード</t>
    <phoneticPr fontId="1"/>
  </si>
  <si>
    <t>ユーザーID入力欄</t>
    <rPh sb="6" eb="9">
      <t>ニュウリョクラン</t>
    </rPh>
    <phoneticPr fontId="1"/>
  </si>
  <si>
    <t>入力ボックス</t>
    <rPh sb="0" eb="2">
      <t>ニュウリョク</t>
    </rPh>
    <phoneticPr fontId="1"/>
  </si>
  <si>
    <t>メールアドレス入力欄</t>
    <rPh sb="7" eb="10">
      <t>ニュウリョクラン</t>
    </rPh>
    <phoneticPr fontId="1"/>
  </si>
  <si>
    <t>画面右側に名称の内容と同じテキストが表示されていること</t>
    <rPh sb="5" eb="7">
      <t>メイショウ</t>
    </rPh>
    <rPh sb="8" eb="10">
      <t>ナイヨウ</t>
    </rPh>
    <rPh sb="11" eb="12">
      <t>オナ</t>
    </rPh>
    <rPh sb="18" eb="20">
      <t>ヒョウジ</t>
    </rPh>
    <phoneticPr fontId="1"/>
  </si>
  <si>
    <t>画面左側に名称の内容と同じテキストが表示されていること</t>
    <rPh sb="2" eb="3">
      <t>ヒダリ</t>
    </rPh>
    <rPh sb="5" eb="7">
      <t>メイショウ</t>
    </rPh>
    <rPh sb="8" eb="10">
      <t>ナイヨウ</t>
    </rPh>
    <rPh sb="11" eb="12">
      <t>オナ</t>
    </rPh>
    <rPh sb="18" eb="20">
      <t>ヒョウジ</t>
    </rPh>
    <phoneticPr fontId="1"/>
  </si>
  <si>
    <t>画面右側に当該項目の入力欄が表示されていること</t>
    <rPh sb="5" eb="7">
      <t>トウガイ</t>
    </rPh>
    <rPh sb="7" eb="9">
      <t>コウモク</t>
    </rPh>
    <rPh sb="10" eb="12">
      <t>ニュウリョク</t>
    </rPh>
    <rPh sb="12" eb="13">
      <t>ラン</t>
    </rPh>
    <rPh sb="14" eb="16">
      <t>ヒョウジ</t>
    </rPh>
    <phoneticPr fontId="1"/>
  </si>
  <si>
    <t>パスワード入力欄</t>
    <rPh sb="5" eb="8">
      <t>ニュウリョクラン</t>
    </rPh>
    <phoneticPr fontId="1"/>
  </si>
  <si>
    <t>パスワード入力文字列</t>
    <rPh sb="5" eb="7">
      <t>ニュウリョク</t>
    </rPh>
    <rPh sb="7" eb="10">
      <t>モジレツ</t>
    </rPh>
    <phoneticPr fontId="1"/>
  </si>
  <si>
    <t>入力内容</t>
    <rPh sb="0" eb="2">
      <t>ニュウリョク</t>
    </rPh>
    <rPh sb="2" eb="4">
      <t>ナイヨウ</t>
    </rPh>
    <phoneticPr fontId="1"/>
  </si>
  <si>
    <t>パスワード入力欄にて任意の文字列を入力</t>
    <rPh sb="5" eb="7">
      <t>ニュウリョク</t>
    </rPh>
    <rPh sb="7" eb="8">
      <t>ラン</t>
    </rPh>
    <rPh sb="10" eb="12">
      <t>ニンイ</t>
    </rPh>
    <rPh sb="13" eb="16">
      <t>モジレツ</t>
    </rPh>
    <rPh sb="17" eb="19">
      <t>ニュウリョク</t>
    </rPh>
    <phoneticPr fontId="1"/>
  </si>
  <si>
    <t>入力した文字が文字隠れ表示となること</t>
    <rPh sb="0" eb="2">
      <t>ニュウリョク</t>
    </rPh>
    <rPh sb="4" eb="6">
      <t>モジ</t>
    </rPh>
    <rPh sb="7" eb="9">
      <t>モジ</t>
    </rPh>
    <rPh sb="9" eb="10">
      <t>カク</t>
    </rPh>
    <rPh sb="11" eb="13">
      <t>ヒョウジ</t>
    </rPh>
    <phoneticPr fontId="1"/>
  </si>
  <si>
    <t>ログイン</t>
    <phoneticPr fontId="1"/>
  </si>
  <si>
    <t>ボタン</t>
    <phoneticPr fontId="1"/>
  </si>
  <si>
    <t>画面右側に名称の内容と同じボタンが表示されていること</t>
    <rPh sb="0" eb="4">
      <t>ガメンミギガワ</t>
    </rPh>
    <rPh sb="5" eb="7">
      <t>メイショウ</t>
    </rPh>
    <rPh sb="8" eb="10">
      <t>ナイヨウ</t>
    </rPh>
    <rPh sb="11" eb="12">
      <t>オナ</t>
    </rPh>
    <rPh sb="17" eb="19">
      <t>ヒョウジ</t>
    </rPh>
    <phoneticPr fontId="1"/>
  </si>
  <si>
    <t>アカウント作成リンク</t>
    <rPh sb="5" eb="7">
      <t>サクセイ</t>
    </rPh>
    <phoneticPr fontId="1"/>
  </si>
  <si>
    <t>画面右側に「アカウント作成はこちら」と表示されていること
「こちら」部分はページリンクを示す色で表示されていること</t>
    <rPh sb="0" eb="4">
      <t>ガメンミギガワ</t>
    </rPh>
    <rPh sb="11" eb="13">
      <t>サクセイ</t>
    </rPh>
    <rPh sb="19" eb="21">
      <t>ヒョウジ</t>
    </rPh>
    <rPh sb="34" eb="36">
      <t>ブブン</t>
    </rPh>
    <rPh sb="44" eb="45">
      <t>シメ</t>
    </rPh>
    <rPh sb="46" eb="47">
      <t>イロ</t>
    </rPh>
    <rPh sb="48" eb="50">
      <t>ヒョウジ</t>
    </rPh>
    <phoneticPr fontId="1"/>
  </si>
  <si>
    <t>確認結果</t>
    <rPh sb="0" eb="2">
      <t>カクニン</t>
    </rPh>
    <rPh sb="2" eb="4">
      <t>ケッカ</t>
    </rPh>
    <phoneticPr fontId="1"/>
  </si>
  <si>
    <t>定義リスト</t>
    <rPh sb="0" eb="2">
      <t>テイギ</t>
    </rPh>
    <phoneticPr fontId="1"/>
  </si>
  <si>
    <t>項目</t>
    <rPh sb="0" eb="2">
      <t>コウモク</t>
    </rPh>
    <phoneticPr fontId="1"/>
  </si>
  <si>
    <t>内容</t>
    <rPh sb="0" eb="2">
      <t>ナイヨウ</t>
    </rPh>
    <phoneticPr fontId="1"/>
  </si>
  <si>
    <t>アプリケーション名</t>
    <rPh sb="8" eb="9">
      <t>メイ</t>
    </rPh>
    <phoneticPr fontId="1"/>
  </si>
  <si>
    <t>Grobe</t>
    <phoneticPr fontId="1"/>
  </si>
  <si>
    <t>未着手</t>
    <rPh sb="0" eb="3">
      <t>ミチャクシュ</t>
    </rPh>
    <phoneticPr fontId="1"/>
  </si>
  <si>
    <t>進行中</t>
    <rPh sb="0" eb="3">
      <t>シンコウチュウ</t>
    </rPh>
    <phoneticPr fontId="1"/>
  </si>
  <si>
    <t>確認完了</t>
    <rPh sb="0" eb="2">
      <t>カクニン</t>
    </rPh>
    <rPh sb="2" eb="4">
      <t>カンリョウ</t>
    </rPh>
    <phoneticPr fontId="1"/>
  </si>
  <si>
    <t>確認不可</t>
    <rPh sb="0" eb="4">
      <t>カクニンフカ</t>
    </rPh>
    <phoneticPr fontId="1"/>
  </si>
  <si>
    <t>NG</t>
    <phoneticPr fontId="1"/>
  </si>
  <si>
    <t>chrome</t>
    <phoneticPr fontId="1"/>
  </si>
  <si>
    <t>safari</t>
    <phoneticPr fontId="1"/>
  </si>
  <si>
    <t>Edge</t>
    <phoneticPr fontId="1"/>
  </si>
  <si>
    <t>Brave</t>
    <phoneticPr fontId="1"/>
  </si>
  <si>
    <t>Firefox</t>
    <phoneticPr fontId="1"/>
  </si>
  <si>
    <t>【PC】管理者_ログイン画面</t>
    <rPh sb="4" eb="7">
      <t>カンリシャ</t>
    </rPh>
    <rPh sb="12" eb="14">
      <t>ガメン</t>
    </rPh>
    <phoneticPr fontId="1"/>
  </si>
  <si>
    <t>ver</t>
    <phoneticPr fontId="1"/>
  </si>
  <si>
    <t>1.0.4</t>
    <phoneticPr fontId="1"/>
  </si>
  <si>
    <t>項目作成時アプリバージョン</t>
    <rPh sb="0" eb="2">
      <t>コウモク</t>
    </rPh>
    <rPh sb="2" eb="4">
      <t>サクセイ</t>
    </rPh>
    <rPh sb="4" eb="5">
      <t>ジ</t>
    </rPh>
    <phoneticPr fontId="1"/>
  </si>
  <si>
    <t>確認完了</t>
    <rPh sb="0" eb="4">
      <t>カクニンカンリョウ</t>
    </rPh>
    <phoneticPr fontId="1"/>
  </si>
  <si>
    <t>達成率</t>
    <rPh sb="0" eb="3">
      <t>タッセイリツ</t>
    </rPh>
    <phoneticPr fontId="1"/>
  </si>
  <si>
    <t>総項目数</t>
    <rPh sb="0" eb="4">
      <t>ソウコウモクスウ</t>
    </rPh>
    <phoneticPr fontId="1"/>
  </si>
  <si>
    <t>【PC】管理者_新規ユーザー作成画面</t>
    <rPh sb="4" eb="7">
      <t>カンリシャ</t>
    </rPh>
    <rPh sb="8" eb="10">
      <t>シンキ</t>
    </rPh>
    <rPh sb="14" eb="16">
      <t>サクセイ</t>
    </rPh>
    <rPh sb="16" eb="18">
      <t>ガメン</t>
    </rPh>
    <phoneticPr fontId="1"/>
  </si>
  <si>
    <t>【mobile】管理者_ログイン画面</t>
    <rPh sb="8" eb="11">
      <t>カンリシャ</t>
    </rPh>
    <rPh sb="16" eb="18">
      <t>ガメン</t>
    </rPh>
    <phoneticPr fontId="1"/>
  </si>
  <si>
    <t>アプリケーションロゴ</t>
  </si>
  <si>
    <t>アプリケーションタイトル</t>
  </si>
  <si>
    <t>画面タイトル</t>
  </si>
  <si>
    <t>ログイン方法</t>
  </si>
  <si>
    <t>ユーザーID</t>
  </si>
  <si>
    <t>メールアドレス</t>
  </si>
  <si>
    <t>ユーザーID入力欄</t>
  </si>
  <si>
    <t>メールアドレス入力欄</t>
  </si>
  <si>
    <t>パスワード</t>
  </si>
  <si>
    <t>パスワード入力欄</t>
  </si>
  <si>
    <t>パスワード入力文字列</t>
  </si>
  <si>
    <t>ログイン</t>
  </si>
  <si>
    <t>アカウント作成リンク</t>
  </si>
  <si>
    <t>アプリケーションバージョン</t>
  </si>
  <si>
    <t>開発団体</t>
  </si>
  <si>
    <t>その他要素</t>
  </si>
  <si>
    <t>入力内容</t>
    <rPh sb="0" eb="4">
      <t>ニュウリョクナイヨウ</t>
    </rPh>
    <phoneticPr fontId="1"/>
  </si>
  <si>
    <t>-</t>
  </si>
  <si>
    <t>上記に記載の無い不要な要素が表示されていないこと</t>
    <rPh sb="0" eb="2">
      <t>ジョウキ</t>
    </rPh>
    <rPh sb="3" eb="5">
      <t>キサイ</t>
    </rPh>
    <rPh sb="6" eb="7">
      <t>ナ</t>
    </rPh>
    <rPh sb="8" eb="10">
      <t>フヨウ</t>
    </rPh>
    <rPh sb="11" eb="13">
      <t>ヨウソ</t>
    </rPh>
    <rPh sb="14" eb="16">
      <t>ヒョウジ</t>
    </rPh>
    <phoneticPr fontId="1"/>
  </si>
  <si>
    <t>画像に欠けや乱れがないこと</t>
    <rPh sb="0" eb="2">
      <t>ガゾウ</t>
    </rPh>
    <rPh sb="3" eb="4">
      <t>カ</t>
    </rPh>
    <rPh sb="6" eb="7">
      <t>ミダ</t>
    </rPh>
    <phoneticPr fontId="1"/>
  </si>
  <si>
    <t>名称の内容と同じテキストが表示されていること</t>
  </si>
  <si>
    <t>画面左側に「管理者画面にログイン」とテキスト表示されていること</t>
    <rPh sb="2" eb="3">
      <t>ヒダリ</t>
    </rPh>
    <rPh sb="6" eb="9">
      <t>カンリシャ</t>
    </rPh>
    <rPh sb="9" eb="11">
      <t>ガメン</t>
    </rPh>
    <rPh sb="22" eb="24">
      <t>ヒョウジ</t>
    </rPh>
    <phoneticPr fontId="1"/>
  </si>
  <si>
    <t>「管理者ログイン画面」とテキスト表示されていること</t>
    <rPh sb="1" eb="4">
      <t>カンリシャ</t>
    </rPh>
    <rPh sb="8" eb="10">
      <t>ガメン</t>
    </rPh>
    <phoneticPr fontId="1"/>
  </si>
  <si>
    <t>「予約管理システム Grobe」とテキスト表示されていること</t>
    <rPh sb="1" eb="3">
      <t>ヨヤク</t>
    </rPh>
    <rPh sb="3" eb="5">
      <t>カンリ</t>
    </rPh>
    <phoneticPr fontId="1"/>
  </si>
  <si>
    <t>名称の内容と同じテキストが表示されていること</t>
    <phoneticPr fontId="1"/>
  </si>
  <si>
    <t>ログイン方法を選択するプルダウンボックスが表示されていること</t>
    <phoneticPr fontId="1"/>
  </si>
  <si>
    <t>「アカウント作成はこちら」と表示されていること
「こちら」部分はページリンクを示す色で表示されていること</t>
    <phoneticPr fontId="1"/>
  </si>
  <si>
    <t>正しいアプリのバージョンが表示されていること</t>
    <rPh sb="0" eb="1">
      <t>タダ</t>
    </rPh>
    <rPh sb="13" eb="15">
      <t>ヒョウジ</t>
    </rPh>
    <phoneticPr fontId="1"/>
  </si>
  <si>
    <t>「開発 劇団抜きにくい釘」と表示されていること</t>
    <rPh sb="14" eb="16">
      <t>ヒョウジ</t>
    </rPh>
    <phoneticPr fontId="1"/>
  </si>
  <si>
    <t>当該項目の入力欄が表示されていること</t>
  </si>
  <si>
    <t>名称の内容と同じボタンが表示されていること</t>
  </si>
  <si>
    <t>注意事項</t>
    <phoneticPr fontId="1"/>
  </si>
  <si>
    <t>確認</t>
    <phoneticPr fontId="1"/>
  </si>
  <si>
    <t>キャンセルリンク</t>
  </si>
  <si>
    <t>キャンセルリンク</t>
    <phoneticPr fontId="1"/>
  </si>
  <si>
    <t>メッセージ</t>
  </si>
  <si>
    <t>確定</t>
  </si>
  <si>
    <t>ユーザーネーム</t>
  </si>
  <si>
    <t>ユーザーネーム入力欄</t>
  </si>
  <si>
    <t>ユーザーネーム（フリガナ）</t>
  </si>
  <si>
    <t>ユーザーネーム（フリガナ）入力欄</t>
  </si>
  <si>
    <t>芸名</t>
  </si>
  <si>
    <t>芸名注意事項</t>
  </si>
  <si>
    <t>芸名（フリガナ）</t>
  </si>
  <si>
    <t>芸名（フリガナ）入力欄</t>
  </si>
  <si>
    <t>パスワード再入力</t>
  </si>
  <si>
    <t>パスワード再入力欄</t>
  </si>
  <si>
    <t>戻る</t>
  </si>
  <si>
    <t>電話番号</t>
  </si>
  <si>
    <t>生年月日</t>
  </si>
  <si>
    <t>生年月日入力欄</t>
  </si>
  <si>
    <t>年齢を非公開にする</t>
  </si>
  <si>
    <t>予約者アカウントと併用する</t>
  </si>
  <si>
    <t>確認メッセージ</t>
  </si>
  <si>
    <t>Eメール</t>
  </si>
  <si>
    <t>Eメール表示欄</t>
  </si>
  <si>
    <t>ユーザーID表示欄</t>
  </si>
  <si>
    <t>ユーザーネーム（フリガナ）表示欄</t>
  </si>
  <si>
    <t>芸名表示欄</t>
  </si>
  <si>
    <t>芸名（フリガナ）表示欄</t>
  </si>
  <si>
    <t>パスワード表示欄</t>
  </si>
  <si>
    <t>電話番号表示欄</t>
  </si>
  <si>
    <t>生年月日表示欄</t>
  </si>
  <si>
    <t>年齢</t>
  </si>
  <si>
    <t>年齢設定表示欄</t>
  </si>
  <si>
    <t>アカウント用途</t>
  </si>
  <si>
    <t>アカウント用途表示欄</t>
  </si>
  <si>
    <t>プレースホルダー</t>
    <phoneticPr fontId="1"/>
  </si>
  <si>
    <t>メールアドレス入力ボックス内に「登録済みアドレスは使用不可」と表示されていること</t>
    <rPh sb="7" eb="9">
      <t>ニュウリョク</t>
    </rPh>
    <rPh sb="13" eb="14">
      <t>ナイ</t>
    </rPh>
    <rPh sb="16" eb="19">
      <t>トウロクズ</t>
    </rPh>
    <rPh sb="25" eb="29">
      <t>シヨウフカ</t>
    </rPh>
    <rPh sb="31" eb="33">
      <t>ヒョウジ</t>
    </rPh>
    <phoneticPr fontId="1"/>
  </si>
  <si>
    <t>パスワード再入力文字列</t>
    <phoneticPr fontId="1"/>
  </si>
  <si>
    <t>パスワード再入力欄にて任意の文字列を入力</t>
    <rPh sb="5" eb="6">
      <t>サイ</t>
    </rPh>
    <rPh sb="6" eb="8">
      <t>ニュウリョク</t>
    </rPh>
    <rPh sb="8" eb="9">
      <t>ラン</t>
    </rPh>
    <rPh sb="11" eb="13">
      <t>ニンイ</t>
    </rPh>
    <rPh sb="14" eb="17">
      <t>モジレツ</t>
    </rPh>
    <rPh sb="18" eb="20">
      <t>ニュウリョク</t>
    </rPh>
    <phoneticPr fontId="1"/>
  </si>
  <si>
    <t>電話番号注意事項</t>
    <rPh sb="0" eb="4">
      <t>デンワバンゴウ</t>
    </rPh>
    <rPh sb="4" eb="8">
      <t>チュウイジコウ</t>
    </rPh>
    <phoneticPr fontId="1"/>
  </si>
  <si>
    <t>チェックボックス</t>
    <phoneticPr fontId="1"/>
  </si>
  <si>
    <t>「※お客様として公演を予約する際、このアカウントが使用可能になります」</t>
    <phoneticPr fontId="1"/>
  </si>
  <si>
    <t>「下記の内容でユーザーを登録します。
よろしければ「確定」を、修正する場合は「戻る」を押してください。」</t>
    <phoneticPr fontId="1"/>
  </si>
  <si>
    <t>値出力欄</t>
    <rPh sb="0" eb="3">
      <t>アタイシュツリョク</t>
    </rPh>
    <rPh sb="3" eb="4">
      <t>ラン</t>
    </rPh>
    <phoneticPr fontId="1"/>
  </si>
  <si>
    <t>画面右側に「キャンセル」と表示されていること
「キャンセル」部分はページリンクを示す色で表示されていること</t>
    <rPh sb="0" eb="4">
      <t>ガメンミギガワ</t>
    </rPh>
    <rPh sb="13" eb="15">
      <t>ヒョウジ</t>
    </rPh>
    <rPh sb="30" eb="32">
      <t>ブブン</t>
    </rPh>
    <rPh sb="40" eb="41">
      <t>シメ</t>
    </rPh>
    <rPh sb="42" eb="43">
      <t>イロ</t>
    </rPh>
    <rPh sb="44" eb="46">
      <t>ヒョウジ</t>
    </rPh>
    <phoneticPr fontId="1"/>
  </si>
  <si>
    <t>画面右側に当該項目のチェックボックスが表示されていること</t>
    <rPh sb="5" eb="7">
      <t>トウガイ</t>
    </rPh>
    <rPh sb="7" eb="9">
      <t>コウモク</t>
    </rPh>
    <rPh sb="19" eb="21">
      <t>ヒョウジ</t>
    </rPh>
    <phoneticPr fontId="1"/>
  </si>
  <si>
    <t>画面右側に当該項目の値が出力されること</t>
    <rPh sb="0" eb="4">
      <t>ガメンミギガワ</t>
    </rPh>
    <rPh sb="5" eb="9">
      <t>トウガイコウモク</t>
    </rPh>
    <rPh sb="10" eb="11">
      <t>アタイ</t>
    </rPh>
    <rPh sb="12" eb="14">
      <t>シュツリョク</t>
    </rPh>
    <phoneticPr fontId="1"/>
  </si>
  <si>
    <t>電話番号入力欄</t>
    <phoneticPr fontId="1"/>
  </si>
  <si>
    <t>電話番号入力ボックス内に「任意入力」と表示されていること</t>
    <rPh sb="4" eb="6">
      <t>ニュウリョク</t>
    </rPh>
    <rPh sb="10" eb="11">
      <t>ナイ</t>
    </rPh>
    <rPh sb="13" eb="17">
      <t>ニンイニュウリョク</t>
    </rPh>
    <rPh sb="19" eb="21">
      <t>ヒョウジ</t>
    </rPh>
    <phoneticPr fontId="1"/>
  </si>
  <si>
    <t>芸名入力欄</t>
    <phoneticPr fontId="1"/>
  </si>
  <si>
    <t>芸名入力ボックス内に「任意入力」と表示されていること</t>
    <phoneticPr fontId="1"/>
  </si>
  <si>
    <t>芸名（フリガナ）注意事項</t>
    <phoneticPr fontId="1"/>
  </si>
  <si>
    <t>芸名（フリガナ）入力ボックス内に「任意入力」と表示されていること</t>
    <phoneticPr fontId="1"/>
  </si>
  <si>
    <t>任意の文字列を入力</t>
    <rPh sb="0" eb="2">
      <t>ニンイ</t>
    </rPh>
    <rPh sb="3" eb="6">
      <t>モジレツ</t>
    </rPh>
    <rPh sb="7" eb="9">
      <t>ニュウリョク</t>
    </rPh>
    <phoneticPr fontId="1"/>
  </si>
  <si>
    <t>【mobile】管理者_新規ユーザー作成画面</t>
    <rPh sb="8" eb="11">
      <t>カンリシャ</t>
    </rPh>
    <rPh sb="12" eb="14">
      <t>シンキ</t>
    </rPh>
    <rPh sb="18" eb="20">
      <t>サクセイ</t>
    </rPh>
    <rPh sb="20" eb="22">
      <t>ガメン</t>
    </rPh>
    <phoneticPr fontId="1"/>
  </si>
  <si>
    <t>名称の内容と同じテキストが表示されていること</t>
    <rPh sb="0" eb="2">
      <t>メイショウ</t>
    </rPh>
    <rPh sb="3" eb="5">
      <t>ナイヨウ</t>
    </rPh>
    <rPh sb="6" eb="7">
      <t>オナ</t>
    </rPh>
    <rPh sb="13" eb="15">
      <t>ヒョウジ</t>
    </rPh>
    <phoneticPr fontId="1"/>
  </si>
  <si>
    <t>当該項目の入力欄が表示されていること</t>
    <rPh sb="0" eb="2">
      <t>トウガイ</t>
    </rPh>
    <rPh sb="2" eb="4">
      <t>コウモク</t>
    </rPh>
    <rPh sb="5" eb="7">
      <t>ニュウリョク</t>
    </rPh>
    <rPh sb="7" eb="8">
      <t>ラン</t>
    </rPh>
    <rPh sb="9" eb="11">
      <t>ヒョウジ</t>
    </rPh>
    <phoneticPr fontId="1"/>
  </si>
  <si>
    <t>名称の内容と同じボタンが表示されていること</t>
    <rPh sb="0" eb="2">
      <t>メイショウ</t>
    </rPh>
    <rPh sb="3" eb="5">
      <t>ナイヨウ</t>
    </rPh>
    <rPh sb="6" eb="7">
      <t>オナ</t>
    </rPh>
    <rPh sb="12" eb="14">
      <t>ヒョウジ</t>
    </rPh>
    <phoneticPr fontId="1"/>
  </si>
  <si>
    <t>当該項目のチェックボックスが表示されていること</t>
    <rPh sb="0" eb="2">
      <t>トウガイ</t>
    </rPh>
    <rPh sb="2" eb="4">
      <t>コウモク</t>
    </rPh>
    <rPh sb="14" eb="16">
      <t>ヒョウジ</t>
    </rPh>
    <phoneticPr fontId="1"/>
  </si>
  <si>
    <t>当該項目の値が出力されること</t>
    <rPh sb="0" eb="4">
      <t>トウガイコウモク</t>
    </rPh>
    <rPh sb="5" eb="6">
      <t>アタイ</t>
    </rPh>
    <rPh sb="7" eb="9">
      <t>シュツリョク</t>
    </rPh>
    <phoneticPr fontId="1"/>
  </si>
  <si>
    <t>「キャンセル」とテキスト表示されていること
「キャンセル」部分はページリンクを示す色で表示されていること</t>
    <rPh sb="12" eb="14">
      <t>ヒョウジ</t>
    </rPh>
    <rPh sb="29" eb="31">
      <t>ブブン</t>
    </rPh>
    <rPh sb="39" eb="40">
      <t>シメ</t>
    </rPh>
    <rPh sb="41" eb="42">
      <t>イロ</t>
    </rPh>
    <rPh sb="43" eb="45">
      <t>ヒョウジ</t>
    </rPh>
    <phoneticPr fontId="1"/>
  </si>
  <si>
    <t>メールアドレス入力ボックス内に「登録済みアドレスは使用不可」と表示されていること</t>
    <rPh sb="7" eb="9">
      <t>ニュウリョク</t>
    </rPh>
    <rPh sb="13" eb="14">
      <t>ナイ</t>
    </rPh>
    <rPh sb="16" eb="19">
      <t>トウロクズ</t>
    </rPh>
    <rPh sb="25" eb="29">
      <t>シヨウフカ</t>
    </rPh>
    <rPh sb="35" eb="37">
      <t>ヒョウジ</t>
    </rPh>
    <phoneticPr fontId="1"/>
  </si>
  <si>
    <t>「※お客様として公演を予約する際、このアカウントが使用可能になります」とテキスト表示されていること</t>
    <rPh sb="40" eb="42">
      <t>ヒョウジ</t>
    </rPh>
    <phoneticPr fontId="1"/>
  </si>
  <si>
    <t>「下記の内容でユーザーを登録します。
よろしければ「確定」を、修正する場合は「戻る」を押してください。」とテキスト表示されていること</t>
    <rPh sb="57" eb="59">
      <t>ヒョウジ</t>
    </rPh>
    <phoneticPr fontId="1"/>
  </si>
  <si>
    <t>【PC】管理者_アカウント作成送信メール</t>
    <rPh sb="4" eb="7">
      <t>カンリシャ</t>
    </rPh>
    <rPh sb="13" eb="15">
      <t>サクセイ</t>
    </rPh>
    <rPh sb="15" eb="17">
      <t>ソウシン</t>
    </rPh>
    <phoneticPr fontId="1"/>
  </si>
  <si>
    <t>【mobile】管理者_アカウント作成送信メール</t>
    <rPh sb="8" eb="11">
      <t>カンリシャ</t>
    </rPh>
    <rPh sb="17" eb="19">
      <t>サクセイ</t>
    </rPh>
    <rPh sb="19" eb="21">
      <t>ソウシン</t>
    </rPh>
    <phoneticPr fontId="1"/>
  </si>
  <si>
    <t>送信元</t>
  </si>
  <si>
    <t>メッセージ本文</t>
  </si>
  <si>
    <t>「globe.reserveticket@gmail.com」からメールが届くこと</t>
    <rPh sb="37" eb="38">
      <t>トド</t>
    </rPh>
    <phoneticPr fontId="1"/>
  </si>
  <si>
    <t>「こんにちは！
Grobe運営事務局です。
まだアカウント登録は完了しておりません。下記URLから手続きを完了してください。」とテキスト表示されていること</t>
    <rPh sb="70" eb="72">
      <t>ヒョウジ</t>
    </rPh>
    <phoneticPr fontId="1"/>
  </si>
  <si>
    <t>アカウント作成画面へのリンク文字列が表示されていること</t>
    <rPh sb="5" eb="7">
      <t>サクセイ</t>
    </rPh>
    <rPh sb="7" eb="9">
      <t>ガメン</t>
    </rPh>
    <rPh sb="14" eb="17">
      <t>モジレツ</t>
    </rPh>
    <rPh sb="18" eb="20">
      <t>ヒョウジ</t>
    </rPh>
    <phoneticPr fontId="1"/>
  </si>
  <si>
    <t>【mobile】管理者_ホーム画面</t>
    <rPh sb="8" eb="11">
      <t>カンリシャ</t>
    </rPh>
    <rPh sb="15" eb="17">
      <t>ガメン</t>
    </rPh>
    <phoneticPr fontId="1"/>
  </si>
  <si>
    <t>【PC】管理者_ホーム画面</t>
    <rPh sb="4" eb="7">
      <t>カンリシャ</t>
    </rPh>
    <rPh sb="11" eb="13">
      <t>ガメン</t>
    </rPh>
    <phoneticPr fontId="1"/>
  </si>
  <si>
    <t>ユーザーメニュー</t>
  </si>
  <si>
    <t>公演メニュー</t>
  </si>
  <si>
    <t>団体メニュー</t>
  </si>
  <si>
    <t>お知らせ内容</t>
  </si>
  <si>
    <t>アイコン</t>
    <phoneticPr fontId="1"/>
  </si>
  <si>
    <t>ホーム</t>
    <phoneticPr fontId="1"/>
  </si>
  <si>
    <t>メニューリンク</t>
    <phoneticPr fontId="1"/>
  </si>
  <si>
    <t>「ホーム」とテキスト表示されていること</t>
    <rPh sb="10" eb="12">
      <t>ヒョウジ</t>
    </rPh>
    <phoneticPr fontId="1"/>
  </si>
  <si>
    <t>「公演メニュー」とテキスト表示されていること</t>
    <rPh sb="1" eb="3">
      <t>コウエン</t>
    </rPh>
    <rPh sb="13" eb="15">
      <t>ヒョウジ</t>
    </rPh>
    <phoneticPr fontId="1"/>
  </si>
  <si>
    <t>「団体メニュー」とテキスト表示されていること</t>
    <rPh sb="1" eb="3">
      <t>ダンタイ</t>
    </rPh>
    <rPh sb="13" eb="15">
      <t>ヒョウジ</t>
    </rPh>
    <phoneticPr fontId="1"/>
  </si>
  <si>
    <t>「お知らせ」とテキスト表示されていること</t>
    <rPh sb="2" eb="3">
      <t>シ</t>
    </rPh>
    <rPh sb="11" eb="13">
      <t>ヒョウジ</t>
    </rPh>
    <phoneticPr fontId="1"/>
  </si>
  <si>
    <t>お知らせの内容がテキスト表示されていること</t>
    <rPh sb="1" eb="2">
      <t>シ</t>
    </rPh>
    <rPh sb="5" eb="7">
      <t>ナイヨウ</t>
    </rPh>
    <rPh sb="12" eb="14">
      <t>ヒョウジ</t>
    </rPh>
    <phoneticPr fontId="1"/>
  </si>
  <si>
    <t>画面左側に表示されており画像に欠けや乱れがないこと</t>
    <rPh sb="0" eb="4">
      <t>ガメンヒダリガワ</t>
    </rPh>
    <rPh sb="5" eb="7">
      <t>ヒョウジ</t>
    </rPh>
    <rPh sb="12" eb="14">
      <t>ガゾウ</t>
    </rPh>
    <rPh sb="15" eb="16">
      <t>カ</t>
    </rPh>
    <rPh sb="18" eb="19">
      <t>ミダ</t>
    </rPh>
    <phoneticPr fontId="1"/>
  </si>
  <si>
    <t>画面左側に「管理者メニュー」とテキスト表示されていること</t>
    <rPh sb="0" eb="4">
      <t>ガメンヒダリガワ</t>
    </rPh>
    <rPh sb="6" eb="9">
      <t>カンリシャ</t>
    </rPh>
    <rPh sb="19" eb="21">
      <t>ヒョウジ</t>
    </rPh>
    <phoneticPr fontId="1"/>
  </si>
  <si>
    <t>メニュー見出し</t>
    <rPh sb="4" eb="6">
      <t>ミダ</t>
    </rPh>
    <phoneticPr fontId="1"/>
  </si>
  <si>
    <t>個人メニュー</t>
    <rPh sb="0" eb="2">
      <t>コジン</t>
    </rPh>
    <phoneticPr fontId="1"/>
  </si>
  <si>
    <t>票券管理</t>
    <rPh sb="0" eb="4">
      <t>ヒョウケンカンリ</t>
    </rPh>
    <phoneticPr fontId="1"/>
  </si>
  <si>
    <t>便利機能</t>
    <rPh sb="0" eb="4">
      <t>ベンリキノウ</t>
    </rPh>
    <phoneticPr fontId="1"/>
  </si>
  <si>
    <t>公演名</t>
    <rPh sb="0" eb="3">
      <t>コウエンメイ</t>
    </rPh>
    <phoneticPr fontId="1"/>
  </si>
  <si>
    <t>画面左側に「公演メニュー」とテキスト表示されていること</t>
    <rPh sb="6" eb="8">
      <t>コウエン</t>
    </rPh>
    <rPh sb="18" eb="20">
      <t>ヒョウジ</t>
    </rPh>
    <phoneticPr fontId="1"/>
  </si>
  <si>
    <t>画面左側に設定した公演名がテキスト表示されていること</t>
    <rPh sb="5" eb="7">
      <t>セッテイ</t>
    </rPh>
    <rPh sb="9" eb="12">
      <t>コウエンメイ</t>
    </rPh>
    <rPh sb="17" eb="19">
      <t>ヒョウジ</t>
    </rPh>
    <phoneticPr fontId="1"/>
  </si>
  <si>
    <t>画面左側に「団体メニュー」とテキスト表示されていること</t>
    <rPh sb="6" eb="8">
      <t>ダンタイ</t>
    </rPh>
    <rPh sb="18" eb="20">
      <t>ヒョウジ</t>
    </rPh>
    <phoneticPr fontId="1"/>
  </si>
  <si>
    <t>画面左側に「個人メニュー」とテキスト表示されていること</t>
    <rPh sb="6" eb="8">
      <t>コジン</t>
    </rPh>
    <rPh sb="18" eb="20">
      <t>ヒョウジ</t>
    </rPh>
    <phoneticPr fontId="1"/>
  </si>
  <si>
    <t>画面左側に「票券」とテキスト表示されていること</t>
    <rPh sb="6" eb="8">
      <t>ヒョウケン</t>
    </rPh>
    <rPh sb="14" eb="16">
      <t>ヒョウジ</t>
    </rPh>
    <phoneticPr fontId="1"/>
  </si>
  <si>
    <t>画面左側に「便利機能」とテキスト表示されていること</t>
    <rPh sb="6" eb="10">
      <t>ベンリキノウ</t>
    </rPh>
    <rPh sb="16" eb="18">
      <t>ヒョウジ</t>
    </rPh>
    <phoneticPr fontId="1"/>
  </si>
  <si>
    <t>団体名</t>
    <rPh sb="0" eb="3">
      <t>ダンタイメイ</t>
    </rPh>
    <phoneticPr fontId="1"/>
  </si>
  <si>
    <t>画面左側に設定した団体名がテキスト表示されていること</t>
    <rPh sb="5" eb="7">
      <t>セッテイ</t>
    </rPh>
    <rPh sb="9" eb="12">
      <t>ダンタイメイ</t>
    </rPh>
    <rPh sb="17" eb="19">
      <t>ヒョウジ</t>
    </rPh>
    <phoneticPr fontId="1"/>
  </si>
  <si>
    <t>ユーザーネーム</t>
    <phoneticPr fontId="1"/>
  </si>
  <si>
    <t>画面左側に設定したユーザーネームがテキスト表示されていること</t>
    <rPh sb="5" eb="7">
      <t>セッテイ</t>
    </rPh>
    <rPh sb="21" eb="23">
      <t>ヒョウジ</t>
    </rPh>
    <phoneticPr fontId="1"/>
  </si>
  <si>
    <t>公演基本情報</t>
    <rPh sb="0" eb="6">
      <t>コウエンキホンジョウホウ</t>
    </rPh>
    <phoneticPr fontId="1"/>
  </si>
  <si>
    <t>公演名を押下</t>
    <rPh sb="0" eb="3">
      <t>コウエンメイ</t>
    </rPh>
    <rPh sb="4" eb="6">
      <t>オウカ</t>
    </rPh>
    <phoneticPr fontId="1"/>
  </si>
  <si>
    <t>予約フォーム作成</t>
    <rPh sb="0" eb="2">
      <t>ヨヤク</t>
    </rPh>
    <rPh sb="6" eb="8">
      <t>サクセイ</t>
    </rPh>
    <phoneticPr fontId="1"/>
  </si>
  <si>
    <t>座席設定</t>
    <rPh sb="0" eb="4">
      <t>ザセキセッテイ</t>
    </rPh>
    <phoneticPr fontId="1"/>
  </si>
  <si>
    <t>宣伝情報</t>
    <rPh sb="0" eb="4">
      <t>センデンジョウホウ</t>
    </rPh>
    <phoneticPr fontId="1"/>
  </si>
  <si>
    <t>公演メンバー</t>
    <rPh sb="0" eb="2">
      <t>コウエン</t>
    </rPh>
    <phoneticPr fontId="1"/>
  </si>
  <si>
    <t>予約一覧</t>
    <rPh sb="0" eb="4">
      <t>ヨヤクイチラン</t>
    </rPh>
    <phoneticPr fontId="1"/>
  </si>
  <si>
    <t>票券管理を押下</t>
    <rPh sb="0" eb="2">
      <t>ヒョウケン</t>
    </rPh>
    <rPh sb="2" eb="4">
      <t>カンリ</t>
    </rPh>
    <rPh sb="5" eb="7">
      <t>オウカ</t>
    </rPh>
    <phoneticPr fontId="1"/>
  </si>
  <si>
    <t>予約枚数集計</t>
    <rPh sb="0" eb="6">
      <t>ヨヤクマイスウシュウケイ</t>
    </rPh>
    <phoneticPr fontId="1"/>
  </si>
  <si>
    <t>予約フォーム一覧</t>
    <rPh sb="0" eb="2">
      <t>ヨヤク</t>
    </rPh>
    <rPh sb="6" eb="8">
      <t>イチラン</t>
    </rPh>
    <phoneticPr fontId="1"/>
  </si>
  <si>
    <t>メール配信</t>
    <rPh sb="3" eb="5">
      <t>ハイシン</t>
    </rPh>
    <phoneticPr fontId="1"/>
  </si>
  <si>
    <t>Excel出力</t>
    <rPh sb="5" eb="7">
      <t>シュツリョク</t>
    </rPh>
    <phoneticPr fontId="1"/>
  </si>
  <si>
    <t>公演の新規作成</t>
    <rPh sb="0" eb="2">
      <t>コウエン</t>
    </rPh>
    <rPh sb="3" eb="7">
      <t>シンキサクセイ</t>
    </rPh>
    <phoneticPr fontId="1"/>
  </si>
  <si>
    <t>団体公演一覧</t>
    <rPh sb="0" eb="4">
      <t>ダンタイコウエン</t>
    </rPh>
    <rPh sb="4" eb="6">
      <t>イチラン</t>
    </rPh>
    <phoneticPr fontId="1"/>
  </si>
  <si>
    <t>団体基本情報</t>
    <rPh sb="0" eb="6">
      <t>ダンタイキホンジョウホウ</t>
    </rPh>
    <phoneticPr fontId="1"/>
  </si>
  <si>
    <t>団体メンバー</t>
    <rPh sb="0" eb="2">
      <t>ダンタイ</t>
    </rPh>
    <phoneticPr fontId="1"/>
  </si>
  <si>
    <t>公演一覧・参加</t>
    <rPh sb="0" eb="4">
      <t>コウエンイチラン</t>
    </rPh>
    <rPh sb="5" eb="7">
      <t>サンカ</t>
    </rPh>
    <phoneticPr fontId="1"/>
  </si>
  <si>
    <t>団体一覧・参加</t>
    <rPh sb="0" eb="4">
      <t>ダンタイイチラン</t>
    </rPh>
    <rPh sb="5" eb="7">
      <t>サンカ</t>
    </rPh>
    <phoneticPr fontId="1"/>
  </si>
  <si>
    <t>便利機能を押下</t>
    <rPh sb="0" eb="4">
      <t>ベンリキノウ</t>
    </rPh>
    <rPh sb="5" eb="7">
      <t>オウカ</t>
    </rPh>
    <phoneticPr fontId="1"/>
  </si>
  <si>
    <t>団体名を押下</t>
    <rPh sb="0" eb="2">
      <t>ダンタイ</t>
    </rPh>
    <rPh sb="2" eb="3">
      <t>メイ</t>
    </rPh>
    <rPh sb="4" eb="6">
      <t>オウカ</t>
    </rPh>
    <phoneticPr fontId="1"/>
  </si>
  <si>
    <t>ユーザーネームを押下</t>
    <rPh sb="8" eb="10">
      <t>オウカ</t>
    </rPh>
    <phoneticPr fontId="1"/>
  </si>
  <si>
    <t>ユーザー基本情報</t>
    <rPh sb="4" eb="8">
      <t>キホンジョウホウ</t>
    </rPh>
    <phoneticPr fontId="1"/>
  </si>
  <si>
    <t>団体の新規作成</t>
    <rPh sb="0" eb="2">
      <t>ダンタイ</t>
    </rPh>
    <rPh sb="3" eb="7">
      <t>シンキサクセイ</t>
    </rPh>
    <phoneticPr fontId="1"/>
  </si>
  <si>
    <t>ログアウト</t>
    <phoneticPr fontId="1"/>
  </si>
  <si>
    <t>画面左側に名称の内容と同じボタンが表示されていること</t>
    <rPh sb="0" eb="2">
      <t>ガメン</t>
    </rPh>
    <rPh sb="2" eb="4">
      <t>ヒダリガワ</t>
    </rPh>
    <rPh sb="5" eb="7">
      <t>メイショウ</t>
    </rPh>
    <rPh sb="8" eb="10">
      <t>ナイヨウ</t>
    </rPh>
    <rPh sb="11" eb="12">
      <t>オナ</t>
    </rPh>
    <rPh sb="17" eb="19">
      <t>ヒョウジ</t>
    </rPh>
    <phoneticPr fontId="1"/>
  </si>
  <si>
    <t>画面右側に「お知らせ」とテキスト表示されていること</t>
    <rPh sb="0" eb="4">
      <t>ガメンミギガワ</t>
    </rPh>
    <rPh sb="7" eb="8">
      <t>シ</t>
    </rPh>
    <rPh sb="16" eb="18">
      <t>ヒョウジ</t>
    </rPh>
    <phoneticPr fontId="1"/>
  </si>
  <si>
    <t>画面タイトルの下にお知らせの内容がテキスト表示されていること</t>
    <rPh sb="0" eb="2">
      <t>ガメン</t>
    </rPh>
    <rPh sb="7" eb="8">
      <t>シタ</t>
    </rPh>
    <rPh sb="10" eb="11">
      <t>シ</t>
    </rPh>
    <rPh sb="14" eb="16">
      <t>ナイヨウ</t>
    </rPh>
    <rPh sb="21" eb="23">
      <t>ヒョウジ</t>
    </rPh>
    <phoneticPr fontId="1"/>
  </si>
  <si>
    <t>領域</t>
    <rPh sb="0" eb="2">
      <t>リョウイキ</t>
    </rPh>
    <phoneticPr fontId="1"/>
  </si>
  <si>
    <t>メニュー</t>
    <phoneticPr fontId="1"/>
  </si>
  <si>
    <t>コンテンツ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</si>
</sst>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Yu Gothic"/>
      <family val="2"/>
      <scheme val="minor"/>
    </font>
    <font>
      <sz val="6"/>
      <name val="Yu Gothic"/>
      <family val="3"/>
      <charset val="128"/>
      <scheme val="minor"/>
    </font>
    <font>
      <sz val="9"/>
      <color theme="1"/>
      <name val="Yu Gothic"/>
      <family val="3"/>
      <charset val="128"/>
      <scheme val="minor"/>
    </font>
    <font>
      <sz val="12"/>
      <color theme="1"/>
      <name val="Yu Gothic"/>
      <family val="3"/>
      <charset val="128"/>
      <scheme val="minor"/>
    </font>
  </fonts>
  <fills count="3">
    <fill>
      <patternFill patternType="none"/>
    </fill>
    <fill>
      <patternFill patternType="gray125"/>
    </fill>
    <fill>
      <patternFill patternType="solid">
        <fgColor theme="4"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double">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8">
    <xf numFmtId="0" fontId="0" fillId="0" borderId="0" xfId="0"/>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0" xfId="0" applyFont="1" applyAlignment="1">
      <alignment vertical="center"/>
    </xf>
    <xf numFmtId="0" fontId="2" fillId="0" borderId="1" xfId="0" applyFont="1" applyBorder="1" applyAlignment="1">
      <alignment horizontal="center" vertical="center"/>
    </xf>
    <xf numFmtId="0" fontId="2" fillId="0" borderId="1"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wrapText="1"/>
    </xf>
    <xf numFmtId="0" fontId="2" fillId="0" borderId="0" xfId="0" applyFont="1" applyAlignment="1">
      <alignment horizontal="center" vertical="center"/>
    </xf>
    <xf numFmtId="0" fontId="3" fillId="0" borderId="0" xfId="0" applyFont="1" applyAlignment="1">
      <alignment horizontal="left" vertical="center"/>
    </xf>
    <xf numFmtId="0" fontId="2" fillId="0" borderId="3" xfId="0" applyFont="1" applyBorder="1" applyAlignment="1">
      <alignment horizontal="center" vertical="center"/>
    </xf>
    <xf numFmtId="9" fontId="2" fillId="0" borderId="3" xfId="0" applyNumberFormat="1" applyFont="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right" vertical="center"/>
    </xf>
    <xf numFmtId="0" fontId="2" fillId="2" borderId="2" xfId="0" applyFont="1" applyFill="1" applyBorder="1" applyAlignment="1">
      <alignment horizontal="right"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8" xfId="0" applyFont="1" applyFill="1" applyBorder="1" applyAlignment="1">
      <alignment horizontal="center" vertical="center"/>
    </xf>
    <xf numFmtId="14" fontId="2" fillId="0" borderId="3" xfId="0" applyNumberFormat="1" applyFont="1" applyBorder="1" applyAlignment="1">
      <alignment vertical="center"/>
    </xf>
    <xf numFmtId="0" fontId="2" fillId="0" borderId="1" xfId="0" applyFont="1" applyBorder="1" applyAlignment="1">
      <alignment vertical="center" wrapText="1"/>
    </xf>
  </cellXfs>
  <cellStyles count="1">
    <cellStyle name="標準" xfId="0" builtinId="0"/>
  </cellStyles>
  <dxfs count="32">
    <dxf>
      <fill>
        <patternFill patternType="solid">
          <bgColor theme="4" tint="0.59996337778862885"/>
        </patternFill>
      </fill>
    </dxf>
    <dxf>
      <fill>
        <patternFill>
          <bgColor theme="5" tint="0.59996337778862885"/>
        </patternFill>
      </fill>
    </dxf>
    <dxf>
      <fill>
        <patternFill>
          <bgColor theme="5" tint="0.59996337778862885"/>
        </patternFill>
      </fill>
    </dxf>
    <dxf>
      <fill>
        <patternFill patternType="solid">
          <bgColor theme="4" tint="0.59996337778862885"/>
        </patternFill>
      </fill>
    </dxf>
    <dxf>
      <fill>
        <patternFill>
          <bgColor theme="5" tint="0.59996337778862885"/>
        </patternFill>
      </fill>
    </dxf>
    <dxf>
      <fill>
        <patternFill>
          <bgColor theme="5" tint="0.59996337778862885"/>
        </patternFill>
      </fill>
    </dxf>
    <dxf>
      <fill>
        <patternFill>
          <bgColor theme="7" tint="0.59996337778862885"/>
        </patternFill>
      </fill>
    </dxf>
    <dxf>
      <fill>
        <patternFill>
          <bgColor theme="7" tint="0.59996337778862885"/>
        </patternFill>
      </fill>
    </dxf>
    <dxf>
      <fill>
        <patternFill patternType="solid">
          <bgColor theme="4" tint="0.59996337778862885"/>
        </patternFill>
      </fill>
    </dxf>
    <dxf>
      <fill>
        <patternFill>
          <bgColor theme="5" tint="0.59996337778862885"/>
        </patternFill>
      </fill>
    </dxf>
    <dxf>
      <fill>
        <patternFill>
          <bgColor theme="5" tint="0.59996337778862885"/>
        </patternFill>
      </fill>
    </dxf>
    <dxf>
      <fill>
        <patternFill patternType="solid">
          <bgColor theme="4" tint="0.59996337778862885"/>
        </patternFill>
      </fill>
    </dxf>
    <dxf>
      <fill>
        <patternFill>
          <bgColor theme="5" tint="0.59996337778862885"/>
        </patternFill>
      </fill>
    </dxf>
    <dxf>
      <fill>
        <patternFill>
          <bgColor theme="5" tint="0.59996337778862885"/>
        </patternFill>
      </fill>
    </dxf>
    <dxf>
      <fill>
        <patternFill>
          <bgColor theme="7" tint="0.59996337778862885"/>
        </patternFill>
      </fill>
    </dxf>
    <dxf>
      <fill>
        <patternFill>
          <bgColor theme="7" tint="0.59996337778862885"/>
        </patternFill>
      </fill>
    </dxf>
    <dxf>
      <fill>
        <patternFill patternType="solid">
          <bgColor theme="4" tint="0.59996337778862885"/>
        </patternFill>
      </fill>
    </dxf>
    <dxf>
      <fill>
        <patternFill>
          <bgColor theme="5" tint="0.59996337778862885"/>
        </patternFill>
      </fill>
    </dxf>
    <dxf>
      <fill>
        <patternFill>
          <bgColor theme="5" tint="0.59996337778862885"/>
        </patternFill>
      </fill>
    </dxf>
    <dxf>
      <fill>
        <patternFill patternType="solid">
          <bgColor theme="4" tint="0.59996337778862885"/>
        </patternFill>
      </fill>
    </dxf>
    <dxf>
      <fill>
        <patternFill>
          <bgColor theme="5" tint="0.59996337778862885"/>
        </patternFill>
      </fill>
    </dxf>
    <dxf>
      <fill>
        <patternFill>
          <bgColor theme="5" tint="0.59996337778862885"/>
        </patternFill>
      </fill>
    </dxf>
    <dxf>
      <fill>
        <patternFill>
          <bgColor theme="7" tint="0.59996337778862885"/>
        </patternFill>
      </fill>
    </dxf>
    <dxf>
      <fill>
        <patternFill>
          <bgColor theme="7" tint="0.59996337778862885"/>
        </patternFill>
      </fill>
    </dxf>
    <dxf>
      <fill>
        <patternFill patternType="solid">
          <bgColor theme="4" tint="0.59996337778862885"/>
        </patternFill>
      </fill>
    </dxf>
    <dxf>
      <fill>
        <patternFill>
          <bgColor theme="5" tint="0.59996337778862885"/>
        </patternFill>
      </fill>
    </dxf>
    <dxf>
      <fill>
        <patternFill>
          <bgColor theme="5" tint="0.59996337778862885"/>
        </patternFill>
      </fill>
    </dxf>
    <dxf>
      <fill>
        <patternFill patternType="solid">
          <bgColor theme="4" tint="0.59996337778862885"/>
        </patternFill>
      </fill>
    </dxf>
    <dxf>
      <fill>
        <patternFill>
          <bgColor theme="5" tint="0.59996337778862885"/>
        </patternFill>
      </fill>
    </dxf>
    <dxf>
      <fill>
        <patternFill>
          <bgColor theme="5" tint="0.59996337778862885"/>
        </patternFill>
      </fill>
    </dxf>
    <dxf>
      <fill>
        <patternFill>
          <bgColor theme="7" tint="0.59996337778862885"/>
        </patternFill>
      </fill>
    </dxf>
    <dxf>
      <fill>
        <patternFill>
          <bgColor theme="7"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N66"/>
  <sheetViews>
    <sheetView zoomScale="85" zoomScaleNormal="85" workbookViewId="0">
      <selection activeCell="H29" sqref="H29"/>
    </sheetView>
  </sheetViews>
  <sheetFormatPr defaultColWidth="9" defaultRowHeight="15"/>
  <cols>
    <col min="1" max="1" width="3.59765625" style="4" customWidth="1"/>
    <col min="2" max="2" width="4.5" style="10" bestFit="1" customWidth="1"/>
    <col min="3" max="3" width="22.19921875" style="4" bestFit="1" customWidth="1"/>
    <col min="4" max="4" width="15.3984375" style="4" bestFit="1" customWidth="1"/>
    <col min="5" max="5" width="35.3984375" style="4" bestFit="1" customWidth="1"/>
    <col min="6" max="6" width="4.5" style="4" bestFit="1" customWidth="1"/>
    <col min="7" max="7" width="63.3984375" style="4" bestFit="1" customWidth="1"/>
    <col min="8" max="8" width="7.5" style="4" bestFit="1" customWidth="1"/>
    <col min="9" max="9" width="6.59765625" style="4" bestFit="1" customWidth="1"/>
    <col min="10" max="10" width="8.19921875" style="4" bestFit="1" customWidth="1"/>
    <col min="11" max="11" width="6" style="4" bestFit="1" customWidth="1"/>
    <col min="12" max="12" width="4.5" style="4" bestFit="1" customWidth="1"/>
    <col min="13" max="13" width="7.5" style="4" bestFit="1" customWidth="1"/>
    <col min="14" max="14" width="21.5" style="4" customWidth="1"/>
    <col min="15" max="16384" width="9" style="4"/>
  </cols>
  <sheetData>
    <row r="2" spans="2:14" ht="19.8">
      <c r="B2" s="11" t="s">
        <v>67</v>
      </c>
    </row>
    <row r="4" spans="2:14">
      <c r="B4" s="15" t="s">
        <v>70</v>
      </c>
      <c r="C4" s="16"/>
      <c r="D4" s="3" t="str">
        <f>定義!$B$4</f>
        <v>1.0.4</v>
      </c>
    </row>
    <row r="5" spans="2:14">
      <c r="B5" s="17" t="s">
        <v>73</v>
      </c>
      <c r="C5" s="18"/>
      <c r="D5" s="3">
        <f>COUNT($B15:$B32)</f>
        <v>18</v>
      </c>
    </row>
    <row r="6" spans="2:14">
      <c r="B6" s="19" t="s">
        <v>72</v>
      </c>
      <c r="C6" s="20"/>
      <c r="D6" s="13">
        <f xml:space="preserve"> D9 / COUNT($B15:$B32)</f>
        <v>0</v>
      </c>
    </row>
    <row r="7" spans="2:14">
      <c r="B7" s="19" t="s">
        <v>57</v>
      </c>
      <c r="C7" s="20"/>
      <c r="D7" s="12">
        <f>COUNTIF($H$15:$H$32,"未着手")</f>
        <v>18</v>
      </c>
    </row>
    <row r="8" spans="2:14">
      <c r="B8" s="19" t="s">
        <v>58</v>
      </c>
      <c r="C8" s="20"/>
      <c r="D8" s="12">
        <f>COUNTIF($H$15:$H$32,"進行中")</f>
        <v>0</v>
      </c>
    </row>
    <row r="9" spans="2:14">
      <c r="B9" s="19" t="s">
        <v>71</v>
      </c>
      <c r="C9" s="20"/>
      <c r="D9" s="12">
        <f>COUNTIF($H$15:$H$32,"確認完了")</f>
        <v>0</v>
      </c>
    </row>
    <row r="10" spans="2:14">
      <c r="B10" s="19" t="s">
        <v>60</v>
      </c>
      <c r="C10" s="20"/>
      <c r="D10" s="12">
        <f>COUNTIF($H$15:$H$32,"確認不可")</f>
        <v>0</v>
      </c>
    </row>
    <row r="11" spans="2:14">
      <c r="B11" s="19" t="s">
        <v>61</v>
      </c>
      <c r="C11" s="20"/>
      <c r="D11" s="12">
        <f>COUNTIF($H$15:$H$32,"NG")</f>
        <v>0</v>
      </c>
    </row>
    <row r="13" spans="2:14">
      <c r="B13" s="14" t="s">
        <v>0</v>
      </c>
      <c r="C13" s="14" t="s">
        <v>1</v>
      </c>
      <c r="D13" s="14"/>
      <c r="E13" s="14"/>
      <c r="F13" s="14"/>
      <c r="G13" s="21"/>
      <c r="H13" s="22" t="s">
        <v>51</v>
      </c>
      <c r="I13" s="14" t="s">
        <v>5</v>
      </c>
      <c r="J13" s="24" t="s">
        <v>2</v>
      </c>
      <c r="K13" s="14" t="s">
        <v>6</v>
      </c>
      <c r="L13" s="14" t="s">
        <v>3</v>
      </c>
      <c r="M13" s="14" t="s">
        <v>4</v>
      </c>
      <c r="N13" s="14" t="s">
        <v>7</v>
      </c>
    </row>
    <row r="14" spans="2:14">
      <c r="B14" s="14"/>
      <c r="C14" s="1" t="s">
        <v>8</v>
      </c>
      <c r="D14" s="1" t="s">
        <v>9</v>
      </c>
      <c r="E14" s="1" t="s">
        <v>10</v>
      </c>
      <c r="F14" s="1" t="s">
        <v>11</v>
      </c>
      <c r="G14" s="2" t="s">
        <v>14</v>
      </c>
      <c r="H14" s="23"/>
      <c r="I14" s="14"/>
      <c r="J14" s="24"/>
      <c r="K14" s="14"/>
      <c r="L14" s="14"/>
      <c r="M14" s="14"/>
      <c r="N14" s="14"/>
    </row>
    <row r="15" spans="2:14">
      <c r="B15" s="5">
        <v>1</v>
      </c>
      <c r="C15" s="6" t="s">
        <v>16</v>
      </c>
      <c r="D15" s="6" t="s">
        <v>12</v>
      </c>
      <c r="E15" s="6" t="s">
        <v>13</v>
      </c>
      <c r="F15" s="6" t="s">
        <v>13</v>
      </c>
      <c r="G15" s="7" t="s">
        <v>15</v>
      </c>
      <c r="H15" s="5" t="s">
        <v>57</v>
      </c>
      <c r="I15" s="6"/>
      <c r="J15" s="8"/>
      <c r="K15" s="6"/>
      <c r="L15" s="6"/>
      <c r="M15" s="6"/>
      <c r="N15" s="6"/>
    </row>
    <row r="16" spans="2:14">
      <c r="B16" s="5">
        <v>2</v>
      </c>
      <c r="C16" s="6" t="s">
        <v>17</v>
      </c>
      <c r="D16" s="6" t="s">
        <v>18</v>
      </c>
      <c r="E16" s="6" t="s">
        <v>13</v>
      </c>
      <c r="F16" s="6" t="s">
        <v>13</v>
      </c>
      <c r="G16" s="7" t="s">
        <v>97</v>
      </c>
      <c r="H16" s="5" t="s">
        <v>57</v>
      </c>
      <c r="I16" s="6"/>
      <c r="J16" s="8"/>
      <c r="K16" s="6"/>
      <c r="L16" s="6"/>
      <c r="M16" s="6"/>
      <c r="N16" s="6"/>
    </row>
    <row r="17" spans="2:14">
      <c r="B17" s="5">
        <v>3</v>
      </c>
      <c r="C17" s="6" t="s">
        <v>19</v>
      </c>
      <c r="D17" s="6" t="s">
        <v>20</v>
      </c>
      <c r="E17" s="6" t="s">
        <v>13</v>
      </c>
      <c r="F17" s="6" t="s">
        <v>13</v>
      </c>
      <c r="G17" s="7" t="s">
        <v>21</v>
      </c>
      <c r="H17" s="5" t="s">
        <v>57</v>
      </c>
      <c r="I17" s="6"/>
      <c r="J17" s="8"/>
      <c r="K17" s="6"/>
      <c r="L17" s="6"/>
      <c r="M17" s="6"/>
      <c r="N17" s="6"/>
    </row>
    <row r="18" spans="2:14">
      <c r="B18" s="5">
        <v>4</v>
      </c>
      <c r="C18" s="6" t="s">
        <v>22</v>
      </c>
      <c r="D18" s="6" t="s">
        <v>20</v>
      </c>
      <c r="E18" s="6" t="s">
        <v>13</v>
      </c>
      <c r="F18" s="6" t="s">
        <v>13</v>
      </c>
      <c r="G18" s="7" t="s">
        <v>23</v>
      </c>
      <c r="H18" s="5" t="s">
        <v>57</v>
      </c>
      <c r="I18" s="6"/>
      <c r="J18" s="8"/>
      <c r="K18" s="6"/>
      <c r="L18" s="6"/>
      <c r="M18" s="6"/>
      <c r="N18" s="6"/>
    </row>
    <row r="19" spans="2:14">
      <c r="B19" s="5">
        <v>5</v>
      </c>
      <c r="C19" s="6" t="s">
        <v>24</v>
      </c>
      <c r="D19" s="6" t="s">
        <v>20</v>
      </c>
      <c r="E19" s="6" t="s">
        <v>13</v>
      </c>
      <c r="F19" s="6" t="s">
        <v>13</v>
      </c>
      <c r="G19" s="7" t="s">
        <v>38</v>
      </c>
      <c r="H19" s="5" t="s">
        <v>57</v>
      </c>
      <c r="I19" s="6"/>
      <c r="J19" s="8"/>
      <c r="K19" s="6"/>
      <c r="L19" s="6"/>
      <c r="M19" s="6"/>
      <c r="N19" s="6"/>
    </row>
    <row r="20" spans="2:14">
      <c r="B20" s="5">
        <v>6</v>
      </c>
      <c r="C20" s="6" t="s">
        <v>24</v>
      </c>
      <c r="D20" s="6" t="s">
        <v>25</v>
      </c>
      <c r="E20" s="6" t="s">
        <v>13</v>
      </c>
      <c r="F20" s="6" t="s">
        <v>13</v>
      </c>
      <c r="G20" s="7" t="s">
        <v>26</v>
      </c>
      <c r="H20" s="5" t="s">
        <v>57</v>
      </c>
      <c r="I20" s="6"/>
      <c r="J20" s="8"/>
      <c r="K20" s="6"/>
      <c r="L20" s="6"/>
      <c r="M20" s="6"/>
      <c r="N20" s="6"/>
    </row>
    <row r="21" spans="2:14">
      <c r="B21" s="5">
        <v>7</v>
      </c>
      <c r="C21" s="6" t="s">
        <v>29</v>
      </c>
      <c r="D21" s="6" t="s">
        <v>27</v>
      </c>
      <c r="E21" s="6" t="s">
        <v>13</v>
      </c>
      <c r="F21" s="6" t="s">
        <v>13</v>
      </c>
      <c r="G21" s="7" t="s">
        <v>28</v>
      </c>
      <c r="H21" s="5" t="s">
        <v>57</v>
      </c>
      <c r="I21" s="6"/>
      <c r="J21" s="8"/>
      <c r="K21" s="6"/>
      <c r="L21" s="6"/>
      <c r="M21" s="6"/>
      <c r="N21" s="6"/>
    </row>
    <row r="22" spans="2:14">
      <c r="B22" s="5">
        <v>8</v>
      </c>
      <c r="C22" s="6" t="s">
        <v>30</v>
      </c>
      <c r="D22" s="6" t="s">
        <v>27</v>
      </c>
      <c r="E22" s="6" t="s">
        <v>13</v>
      </c>
      <c r="F22" s="6" t="s">
        <v>13</v>
      </c>
      <c r="G22" s="7" t="s">
        <v>31</v>
      </c>
      <c r="H22" s="5" t="s">
        <v>57</v>
      </c>
      <c r="I22" s="6"/>
      <c r="J22" s="8"/>
      <c r="K22" s="6"/>
      <c r="L22" s="6"/>
      <c r="M22" s="6"/>
      <c r="N22" s="6"/>
    </row>
    <row r="23" spans="2:14">
      <c r="B23" s="5">
        <v>9</v>
      </c>
      <c r="C23" s="6" t="s">
        <v>29</v>
      </c>
      <c r="D23" s="6" t="s">
        <v>20</v>
      </c>
      <c r="E23" s="6" t="s">
        <v>32</v>
      </c>
      <c r="F23" s="6" t="s">
        <v>13</v>
      </c>
      <c r="G23" s="7" t="s">
        <v>38</v>
      </c>
      <c r="H23" s="5" t="s">
        <v>57</v>
      </c>
      <c r="I23" s="6"/>
      <c r="J23" s="8"/>
      <c r="K23" s="6"/>
      <c r="L23" s="6"/>
      <c r="M23" s="6"/>
      <c r="N23" s="6"/>
    </row>
    <row r="24" spans="2:14">
      <c r="B24" s="5">
        <v>10</v>
      </c>
      <c r="C24" s="6" t="s">
        <v>35</v>
      </c>
      <c r="D24" s="6" t="s">
        <v>36</v>
      </c>
      <c r="E24" s="6" t="s">
        <v>32</v>
      </c>
      <c r="F24" s="6" t="s">
        <v>13</v>
      </c>
      <c r="G24" s="7" t="s">
        <v>40</v>
      </c>
      <c r="H24" s="5" t="s">
        <v>57</v>
      </c>
      <c r="I24" s="6"/>
      <c r="J24" s="8"/>
      <c r="K24" s="6"/>
      <c r="L24" s="6"/>
      <c r="M24" s="6"/>
      <c r="N24" s="6"/>
    </row>
    <row r="25" spans="2:14">
      <c r="B25" s="5">
        <v>11</v>
      </c>
      <c r="C25" s="6" t="s">
        <v>30</v>
      </c>
      <c r="D25" s="6" t="s">
        <v>20</v>
      </c>
      <c r="E25" s="6" t="s">
        <v>33</v>
      </c>
      <c r="F25" s="6" t="s">
        <v>13</v>
      </c>
      <c r="G25" s="7" t="s">
        <v>38</v>
      </c>
      <c r="H25" s="5" t="s">
        <v>57</v>
      </c>
      <c r="I25" s="6"/>
      <c r="J25" s="8"/>
      <c r="K25" s="6"/>
      <c r="L25" s="6"/>
      <c r="M25" s="6"/>
      <c r="N25" s="6"/>
    </row>
    <row r="26" spans="2:14">
      <c r="B26" s="5">
        <v>12</v>
      </c>
      <c r="C26" s="6" t="s">
        <v>37</v>
      </c>
      <c r="D26" s="6" t="s">
        <v>36</v>
      </c>
      <c r="E26" s="6" t="s">
        <v>33</v>
      </c>
      <c r="F26" s="6" t="s">
        <v>13</v>
      </c>
      <c r="G26" s="7" t="s">
        <v>40</v>
      </c>
      <c r="H26" s="5" t="s">
        <v>57</v>
      </c>
      <c r="I26" s="6"/>
      <c r="J26" s="8"/>
      <c r="K26" s="6"/>
      <c r="L26" s="6"/>
      <c r="M26" s="6"/>
      <c r="N26" s="6"/>
    </row>
    <row r="27" spans="2:14">
      <c r="B27" s="5">
        <v>13</v>
      </c>
      <c r="C27" s="6" t="s">
        <v>34</v>
      </c>
      <c r="D27" s="6" t="s">
        <v>20</v>
      </c>
      <c r="E27" s="6" t="s">
        <v>13</v>
      </c>
      <c r="F27" s="6" t="s">
        <v>13</v>
      </c>
      <c r="G27" s="7" t="s">
        <v>38</v>
      </c>
      <c r="H27" s="5" t="s">
        <v>57</v>
      </c>
      <c r="I27" s="6"/>
      <c r="J27" s="8"/>
      <c r="K27" s="6"/>
      <c r="L27" s="6"/>
      <c r="M27" s="6"/>
      <c r="N27" s="6"/>
    </row>
    <row r="28" spans="2:14">
      <c r="B28" s="5">
        <v>14</v>
      </c>
      <c r="C28" s="6" t="s">
        <v>41</v>
      </c>
      <c r="D28" s="6" t="s">
        <v>36</v>
      </c>
      <c r="E28" s="6" t="s">
        <v>13</v>
      </c>
      <c r="F28" s="6" t="s">
        <v>13</v>
      </c>
      <c r="G28" s="7" t="s">
        <v>40</v>
      </c>
      <c r="H28" s="5" t="s">
        <v>57</v>
      </c>
      <c r="I28" s="6"/>
      <c r="J28" s="26"/>
      <c r="K28" s="6"/>
      <c r="L28" s="27"/>
      <c r="M28" s="27"/>
      <c r="N28" s="6"/>
    </row>
    <row r="29" spans="2:14">
      <c r="B29" s="5">
        <v>15</v>
      </c>
      <c r="C29" s="6" t="s">
        <v>42</v>
      </c>
      <c r="D29" s="6" t="s">
        <v>43</v>
      </c>
      <c r="E29" s="6" t="s">
        <v>44</v>
      </c>
      <c r="F29" s="6" t="s">
        <v>13</v>
      </c>
      <c r="G29" s="7" t="s">
        <v>45</v>
      </c>
      <c r="H29" s="5" t="s">
        <v>57</v>
      </c>
      <c r="I29" s="6"/>
      <c r="J29" s="26"/>
      <c r="K29" s="6"/>
      <c r="L29" s="6"/>
      <c r="M29" s="6"/>
      <c r="N29" s="6"/>
    </row>
    <row r="30" spans="2:14">
      <c r="B30" s="5">
        <v>16</v>
      </c>
      <c r="C30" s="6" t="s">
        <v>46</v>
      </c>
      <c r="D30" s="6" t="s">
        <v>47</v>
      </c>
      <c r="E30" s="6" t="s">
        <v>13</v>
      </c>
      <c r="F30" s="6" t="s">
        <v>13</v>
      </c>
      <c r="G30" s="7" t="s">
        <v>48</v>
      </c>
      <c r="H30" s="5" t="s">
        <v>57</v>
      </c>
      <c r="I30" s="6"/>
      <c r="J30" s="8"/>
      <c r="K30" s="6"/>
      <c r="L30" s="6"/>
      <c r="M30" s="6"/>
      <c r="N30" s="6"/>
    </row>
    <row r="31" spans="2:14" ht="30">
      <c r="B31" s="5">
        <v>17</v>
      </c>
      <c r="C31" s="6" t="s">
        <v>49</v>
      </c>
      <c r="D31" s="6" t="s">
        <v>20</v>
      </c>
      <c r="E31" s="6" t="s">
        <v>13</v>
      </c>
      <c r="F31" s="6" t="s">
        <v>13</v>
      </c>
      <c r="G31" s="9" t="s">
        <v>50</v>
      </c>
      <c r="H31" s="5" t="s">
        <v>57</v>
      </c>
      <c r="I31" s="6"/>
      <c r="J31" s="8"/>
      <c r="K31" s="6"/>
      <c r="L31" s="6"/>
      <c r="M31" s="6"/>
      <c r="N31" s="6"/>
    </row>
    <row r="32" spans="2:14">
      <c r="B32" s="5">
        <v>18</v>
      </c>
      <c r="C32" s="6" t="s">
        <v>91</v>
      </c>
      <c r="D32" s="6" t="s">
        <v>93</v>
      </c>
      <c r="E32" s="6" t="s">
        <v>13</v>
      </c>
      <c r="F32" s="6" t="s">
        <v>13</v>
      </c>
      <c r="G32" s="9" t="s">
        <v>94</v>
      </c>
      <c r="H32" s="5" t="s">
        <v>57</v>
      </c>
      <c r="I32" s="6"/>
      <c r="J32" s="8"/>
      <c r="K32" s="6"/>
      <c r="L32" s="6"/>
      <c r="M32" s="6"/>
      <c r="N32" s="6"/>
    </row>
    <row r="35" spans="2:14" ht="19.8">
      <c r="B35" s="11" t="s">
        <v>75</v>
      </c>
    </row>
    <row r="37" spans="2:14">
      <c r="B37" s="15" t="s">
        <v>70</v>
      </c>
      <c r="C37" s="16"/>
      <c r="D37" s="3" t="str">
        <f>定義!$B$4</f>
        <v>1.0.4</v>
      </c>
    </row>
    <row r="38" spans="2:14">
      <c r="B38" s="17" t="s">
        <v>73</v>
      </c>
      <c r="C38" s="18"/>
      <c r="D38" s="3">
        <f>COUNT($B48:$B66)</f>
        <v>19</v>
      </c>
    </row>
    <row r="39" spans="2:14">
      <c r="B39" s="19" t="s">
        <v>72</v>
      </c>
      <c r="C39" s="20"/>
      <c r="D39" s="13">
        <f xml:space="preserve"> D42 / COUNT($B48:$B66)</f>
        <v>0</v>
      </c>
    </row>
    <row r="40" spans="2:14">
      <c r="B40" s="19" t="s">
        <v>57</v>
      </c>
      <c r="C40" s="20"/>
      <c r="D40" s="12">
        <f>COUNTIF($H$48:$H$66,"未着手")</f>
        <v>19</v>
      </c>
    </row>
    <row r="41" spans="2:14">
      <c r="B41" s="19" t="s">
        <v>58</v>
      </c>
      <c r="C41" s="20"/>
      <c r="D41" s="12">
        <f>COUNTIF($H$48:$H$66,"進行中")</f>
        <v>0</v>
      </c>
    </row>
    <row r="42" spans="2:14">
      <c r="B42" s="19" t="s">
        <v>71</v>
      </c>
      <c r="C42" s="20"/>
      <c r="D42" s="12">
        <f>COUNTIF($H$48:$H$66,"確認完了")</f>
        <v>0</v>
      </c>
    </row>
    <row r="43" spans="2:14">
      <c r="B43" s="19" t="s">
        <v>60</v>
      </c>
      <c r="C43" s="20"/>
      <c r="D43" s="12">
        <f>COUNTIF($H$48:$H$66,"確認不可")</f>
        <v>0</v>
      </c>
    </row>
    <row r="44" spans="2:14">
      <c r="B44" s="19" t="s">
        <v>61</v>
      </c>
      <c r="C44" s="20"/>
      <c r="D44" s="12">
        <f>COUNTIF($H$48:$H$66,"NG")</f>
        <v>0</v>
      </c>
    </row>
    <row r="46" spans="2:14">
      <c r="B46" s="14" t="s">
        <v>0</v>
      </c>
      <c r="C46" s="14" t="s">
        <v>1</v>
      </c>
      <c r="D46" s="14"/>
      <c r="E46" s="14"/>
      <c r="F46" s="14"/>
      <c r="G46" s="21"/>
      <c r="H46" s="22" t="s">
        <v>51</v>
      </c>
      <c r="I46" s="14" t="s">
        <v>5</v>
      </c>
      <c r="J46" s="24" t="s">
        <v>2</v>
      </c>
      <c r="K46" s="14" t="s">
        <v>6</v>
      </c>
      <c r="L46" s="14" t="s">
        <v>3</v>
      </c>
      <c r="M46" s="14" t="s">
        <v>4</v>
      </c>
      <c r="N46" s="14" t="s">
        <v>7</v>
      </c>
    </row>
    <row r="47" spans="2:14">
      <c r="B47" s="14"/>
      <c r="C47" s="1" t="s">
        <v>8</v>
      </c>
      <c r="D47" s="1" t="s">
        <v>9</v>
      </c>
      <c r="E47" s="1" t="s">
        <v>10</v>
      </c>
      <c r="F47" s="1" t="s">
        <v>11</v>
      </c>
      <c r="G47" s="2" t="s">
        <v>14</v>
      </c>
      <c r="H47" s="23"/>
      <c r="I47" s="14"/>
      <c r="J47" s="24"/>
      <c r="K47" s="14"/>
      <c r="L47" s="14"/>
      <c r="M47" s="14"/>
      <c r="N47" s="14"/>
    </row>
    <row r="48" spans="2:14">
      <c r="B48" s="5">
        <v>1</v>
      </c>
      <c r="C48" s="6" t="s">
        <v>76</v>
      </c>
      <c r="D48" s="6" t="s">
        <v>12</v>
      </c>
      <c r="E48" s="6" t="s">
        <v>93</v>
      </c>
      <c r="F48" s="6" t="s">
        <v>93</v>
      </c>
      <c r="G48" s="7" t="s">
        <v>95</v>
      </c>
      <c r="H48" s="5" t="s">
        <v>57</v>
      </c>
      <c r="I48" s="6"/>
      <c r="J48" s="8"/>
      <c r="K48" s="6"/>
      <c r="L48" s="6"/>
      <c r="M48" s="6"/>
      <c r="N48" s="6"/>
    </row>
    <row r="49" spans="2:14">
      <c r="B49" s="5">
        <v>2</v>
      </c>
      <c r="C49" s="6" t="s">
        <v>77</v>
      </c>
      <c r="D49" s="6" t="s">
        <v>18</v>
      </c>
      <c r="E49" s="6" t="s">
        <v>13</v>
      </c>
      <c r="F49" s="6" t="s">
        <v>13</v>
      </c>
      <c r="G49" s="7" t="s">
        <v>99</v>
      </c>
      <c r="H49" s="5" t="s">
        <v>57</v>
      </c>
      <c r="I49" s="6"/>
      <c r="J49" s="8"/>
      <c r="K49" s="6"/>
      <c r="L49" s="6"/>
      <c r="M49" s="6"/>
      <c r="N49" s="6"/>
    </row>
    <row r="50" spans="2:14">
      <c r="B50" s="5">
        <v>3</v>
      </c>
      <c r="C50" s="6" t="s">
        <v>78</v>
      </c>
      <c r="D50" s="6" t="s">
        <v>18</v>
      </c>
      <c r="E50" s="6" t="s">
        <v>13</v>
      </c>
      <c r="F50" s="6" t="s">
        <v>13</v>
      </c>
      <c r="G50" s="7" t="s">
        <v>98</v>
      </c>
      <c r="H50" s="5" t="s">
        <v>57</v>
      </c>
      <c r="I50" s="6"/>
      <c r="J50" s="8"/>
      <c r="K50" s="6"/>
      <c r="L50" s="6"/>
      <c r="M50" s="6"/>
      <c r="N50" s="6"/>
    </row>
    <row r="51" spans="2:14">
      <c r="B51" s="5">
        <v>4</v>
      </c>
      <c r="C51" s="6" t="s">
        <v>79</v>
      </c>
      <c r="D51" s="6" t="s">
        <v>20</v>
      </c>
      <c r="E51" s="6" t="s">
        <v>13</v>
      </c>
      <c r="F51" s="6" t="s">
        <v>13</v>
      </c>
      <c r="G51" s="7" t="s">
        <v>100</v>
      </c>
      <c r="H51" s="5" t="s">
        <v>57</v>
      </c>
      <c r="I51" s="6"/>
      <c r="J51" s="8"/>
      <c r="K51" s="6"/>
      <c r="L51" s="6"/>
      <c r="M51" s="6"/>
      <c r="N51" s="6"/>
    </row>
    <row r="52" spans="2:14">
      <c r="B52" s="5">
        <v>5</v>
      </c>
      <c r="C52" s="6" t="s">
        <v>79</v>
      </c>
      <c r="D52" s="6" t="s">
        <v>25</v>
      </c>
      <c r="E52" s="6" t="s">
        <v>13</v>
      </c>
      <c r="F52" s="6" t="s">
        <v>13</v>
      </c>
      <c r="G52" s="7" t="s">
        <v>101</v>
      </c>
      <c r="H52" s="5" t="s">
        <v>57</v>
      </c>
      <c r="I52" s="6"/>
      <c r="J52" s="8"/>
      <c r="K52" s="6"/>
      <c r="L52" s="6"/>
      <c r="M52" s="6"/>
      <c r="N52" s="6"/>
    </row>
    <row r="53" spans="2:14">
      <c r="B53" s="5">
        <v>6</v>
      </c>
      <c r="C53" s="6" t="s">
        <v>80</v>
      </c>
      <c r="D53" s="6" t="s">
        <v>27</v>
      </c>
      <c r="E53" s="6" t="s">
        <v>13</v>
      </c>
      <c r="F53" s="6" t="s">
        <v>13</v>
      </c>
      <c r="G53" s="7" t="s">
        <v>28</v>
      </c>
      <c r="H53" s="5" t="s">
        <v>57</v>
      </c>
      <c r="I53" s="6"/>
      <c r="J53" s="8"/>
      <c r="K53" s="6"/>
      <c r="L53" s="6"/>
      <c r="M53" s="6"/>
      <c r="N53" s="6"/>
    </row>
    <row r="54" spans="2:14">
      <c r="B54" s="5">
        <v>7</v>
      </c>
      <c r="C54" s="6" t="s">
        <v>81</v>
      </c>
      <c r="D54" s="6" t="s">
        <v>27</v>
      </c>
      <c r="E54" s="6" t="s">
        <v>13</v>
      </c>
      <c r="F54" s="6" t="s">
        <v>13</v>
      </c>
      <c r="G54" s="7" t="s">
        <v>31</v>
      </c>
      <c r="H54" s="5" t="s">
        <v>57</v>
      </c>
      <c r="I54" s="6"/>
      <c r="J54" s="8"/>
      <c r="K54" s="6"/>
      <c r="L54" s="6"/>
      <c r="M54" s="6"/>
      <c r="N54" s="6"/>
    </row>
    <row r="55" spans="2:14">
      <c r="B55" s="5">
        <v>8</v>
      </c>
      <c r="C55" s="6" t="s">
        <v>80</v>
      </c>
      <c r="D55" s="6" t="s">
        <v>20</v>
      </c>
      <c r="E55" s="6" t="s">
        <v>32</v>
      </c>
      <c r="F55" s="6" t="s">
        <v>13</v>
      </c>
      <c r="G55" s="7" t="s">
        <v>96</v>
      </c>
      <c r="H55" s="5" t="s">
        <v>57</v>
      </c>
      <c r="I55" s="6"/>
      <c r="J55" s="8"/>
      <c r="K55" s="6"/>
      <c r="L55" s="6"/>
      <c r="M55" s="6"/>
      <c r="N55" s="6"/>
    </row>
    <row r="56" spans="2:14">
      <c r="B56" s="5">
        <v>9</v>
      </c>
      <c r="C56" s="6" t="s">
        <v>82</v>
      </c>
      <c r="D56" s="6" t="s">
        <v>36</v>
      </c>
      <c r="E56" s="6" t="s">
        <v>32</v>
      </c>
      <c r="F56" s="6" t="s">
        <v>13</v>
      </c>
      <c r="G56" s="7" t="s">
        <v>105</v>
      </c>
      <c r="H56" s="5" t="s">
        <v>57</v>
      </c>
      <c r="I56" s="6"/>
      <c r="J56" s="8"/>
      <c r="K56" s="6"/>
      <c r="L56" s="6"/>
      <c r="M56" s="6"/>
      <c r="N56" s="6"/>
    </row>
    <row r="57" spans="2:14">
      <c r="B57" s="5">
        <v>10</v>
      </c>
      <c r="C57" s="6" t="s">
        <v>81</v>
      </c>
      <c r="D57" s="6" t="s">
        <v>20</v>
      </c>
      <c r="E57" s="6" t="s">
        <v>33</v>
      </c>
      <c r="F57" s="6" t="s">
        <v>13</v>
      </c>
      <c r="G57" s="7" t="s">
        <v>96</v>
      </c>
      <c r="H57" s="5" t="s">
        <v>57</v>
      </c>
      <c r="I57" s="6"/>
      <c r="J57" s="8"/>
      <c r="K57" s="6"/>
      <c r="L57" s="6"/>
      <c r="M57" s="6"/>
      <c r="N57" s="6"/>
    </row>
    <row r="58" spans="2:14">
      <c r="B58" s="5">
        <v>11</v>
      </c>
      <c r="C58" s="6" t="s">
        <v>83</v>
      </c>
      <c r="D58" s="6" t="s">
        <v>36</v>
      </c>
      <c r="E58" s="6" t="s">
        <v>33</v>
      </c>
      <c r="F58" s="6" t="s">
        <v>13</v>
      </c>
      <c r="G58" s="7" t="s">
        <v>105</v>
      </c>
      <c r="H58" s="5" t="s">
        <v>57</v>
      </c>
      <c r="I58" s="6"/>
      <c r="J58" s="8"/>
      <c r="K58" s="6"/>
      <c r="L58" s="6"/>
      <c r="M58" s="6"/>
      <c r="N58" s="6"/>
    </row>
    <row r="59" spans="2:14">
      <c r="B59" s="5">
        <v>12</v>
      </c>
      <c r="C59" s="6" t="s">
        <v>84</v>
      </c>
      <c r="D59" s="6" t="s">
        <v>20</v>
      </c>
      <c r="E59" s="6" t="s">
        <v>13</v>
      </c>
      <c r="F59" s="6" t="s">
        <v>13</v>
      </c>
      <c r="G59" s="7" t="s">
        <v>96</v>
      </c>
      <c r="H59" s="5" t="s">
        <v>57</v>
      </c>
      <c r="I59" s="6"/>
      <c r="J59" s="8"/>
      <c r="K59" s="6"/>
      <c r="L59" s="6"/>
      <c r="M59" s="6"/>
      <c r="N59" s="6"/>
    </row>
    <row r="60" spans="2:14">
      <c r="B60" s="5">
        <v>13</v>
      </c>
      <c r="C60" s="6" t="s">
        <v>85</v>
      </c>
      <c r="D60" s="6" t="s">
        <v>36</v>
      </c>
      <c r="E60" s="6" t="s">
        <v>13</v>
      </c>
      <c r="F60" s="6" t="s">
        <v>13</v>
      </c>
      <c r="G60" s="7" t="s">
        <v>105</v>
      </c>
      <c r="H60" s="5" t="s">
        <v>57</v>
      </c>
      <c r="I60" s="6"/>
      <c r="J60" s="8"/>
      <c r="K60" s="6"/>
      <c r="L60" s="6"/>
      <c r="M60" s="6"/>
      <c r="N60" s="6"/>
    </row>
    <row r="61" spans="2:14">
      <c r="B61" s="5">
        <v>14</v>
      </c>
      <c r="C61" s="6" t="s">
        <v>86</v>
      </c>
      <c r="D61" s="6" t="s">
        <v>92</v>
      </c>
      <c r="E61" s="6" t="s">
        <v>44</v>
      </c>
      <c r="F61" s="6" t="s">
        <v>13</v>
      </c>
      <c r="G61" s="7" t="s">
        <v>45</v>
      </c>
      <c r="H61" s="5" t="s">
        <v>57</v>
      </c>
      <c r="I61" s="6"/>
      <c r="J61" s="8"/>
      <c r="K61" s="6"/>
      <c r="L61" s="6"/>
      <c r="M61" s="6"/>
      <c r="N61" s="6"/>
    </row>
    <row r="62" spans="2:14">
      <c r="B62" s="5">
        <v>15</v>
      </c>
      <c r="C62" s="6" t="s">
        <v>87</v>
      </c>
      <c r="D62" s="6" t="s">
        <v>47</v>
      </c>
      <c r="E62" s="6" t="s">
        <v>13</v>
      </c>
      <c r="F62" s="6" t="s">
        <v>13</v>
      </c>
      <c r="G62" s="7" t="s">
        <v>106</v>
      </c>
      <c r="H62" s="5" t="s">
        <v>57</v>
      </c>
      <c r="I62" s="6"/>
      <c r="J62" s="8"/>
      <c r="K62" s="6"/>
      <c r="L62" s="6"/>
      <c r="M62" s="6"/>
      <c r="N62" s="6"/>
    </row>
    <row r="63" spans="2:14" ht="30">
      <c r="B63" s="5">
        <v>16</v>
      </c>
      <c r="C63" s="6" t="s">
        <v>88</v>
      </c>
      <c r="D63" s="6" t="s">
        <v>20</v>
      </c>
      <c r="E63" s="6" t="s">
        <v>13</v>
      </c>
      <c r="F63" s="6" t="s">
        <v>13</v>
      </c>
      <c r="G63" s="9" t="s">
        <v>102</v>
      </c>
      <c r="H63" s="5" t="s">
        <v>57</v>
      </c>
      <c r="I63" s="6"/>
      <c r="J63" s="8"/>
      <c r="K63" s="6"/>
      <c r="L63" s="6"/>
      <c r="M63" s="6"/>
      <c r="N63" s="6"/>
    </row>
    <row r="64" spans="2:14">
      <c r="B64" s="5">
        <v>17</v>
      </c>
      <c r="C64" s="6" t="s">
        <v>89</v>
      </c>
      <c r="D64" s="6" t="s">
        <v>20</v>
      </c>
      <c r="E64" s="6" t="s">
        <v>13</v>
      </c>
      <c r="F64" s="6" t="s">
        <v>13</v>
      </c>
      <c r="G64" s="7" t="s">
        <v>103</v>
      </c>
      <c r="H64" s="5" t="s">
        <v>57</v>
      </c>
      <c r="I64" s="6"/>
      <c r="J64" s="8"/>
      <c r="K64" s="6"/>
      <c r="L64" s="6"/>
      <c r="M64" s="6"/>
      <c r="N64" s="6"/>
    </row>
    <row r="65" spans="2:14">
      <c r="B65" s="5">
        <v>18</v>
      </c>
      <c r="C65" s="6" t="s">
        <v>90</v>
      </c>
      <c r="D65" s="6" t="s">
        <v>20</v>
      </c>
      <c r="E65" s="6" t="s">
        <v>13</v>
      </c>
      <c r="F65" s="6" t="s">
        <v>13</v>
      </c>
      <c r="G65" s="7" t="s">
        <v>104</v>
      </c>
      <c r="H65" s="5" t="s">
        <v>57</v>
      </c>
      <c r="I65" s="6"/>
      <c r="J65" s="8"/>
      <c r="K65" s="6"/>
      <c r="L65" s="6"/>
      <c r="M65" s="6"/>
      <c r="N65" s="6"/>
    </row>
    <row r="66" spans="2:14">
      <c r="B66" s="5">
        <v>19</v>
      </c>
      <c r="C66" s="6" t="s">
        <v>91</v>
      </c>
      <c r="D66" s="6" t="s">
        <v>93</v>
      </c>
      <c r="E66" s="6" t="s">
        <v>93</v>
      </c>
      <c r="F66" s="6" t="s">
        <v>93</v>
      </c>
      <c r="G66" s="9" t="s">
        <v>94</v>
      </c>
      <c r="H66" s="5" t="s">
        <v>57</v>
      </c>
      <c r="I66" s="6"/>
      <c r="J66" s="8"/>
      <c r="K66" s="6"/>
      <c r="L66" s="6"/>
      <c r="M66" s="6"/>
      <c r="N66" s="6"/>
    </row>
  </sheetData>
  <mergeCells count="34">
    <mergeCell ref="K13:K14"/>
    <mergeCell ref="N13:N14"/>
    <mergeCell ref="C13:G13"/>
    <mergeCell ref="H13:H14"/>
    <mergeCell ref="B13:B14"/>
    <mergeCell ref="J13:J14"/>
    <mergeCell ref="L13:L14"/>
    <mergeCell ref="M13:M14"/>
    <mergeCell ref="I13:I14"/>
    <mergeCell ref="J46:J47"/>
    <mergeCell ref="B4:C4"/>
    <mergeCell ref="B7:C7"/>
    <mergeCell ref="B8:C8"/>
    <mergeCell ref="B9:C9"/>
    <mergeCell ref="B10:C10"/>
    <mergeCell ref="B11:C11"/>
    <mergeCell ref="B6:C6"/>
    <mergeCell ref="B5:C5"/>
    <mergeCell ref="K46:K47"/>
    <mergeCell ref="L46:L47"/>
    <mergeCell ref="M46:M47"/>
    <mergeCell ref="N46:N47"/>
    <mergeCell ref="B37:C37"/>
    <mergeCell ref="B38:C38"/>
    <mergeCell ref="B39:C39"/>
    <mergeCell ref="B40:C40"/>
    <mergeCell ref="B41:C41"/>
    <mergeCell ref="B42:C42"/>
    <mergeCell ref="B43:C43"/>
    <mergeCell ref="B44:C44"/>
    <mergeCell ref="B46:B47"/>
    <mergeCell ref="C46:G46"/>
    <mergeCell ref="H46:H47"/>
    <mergeCell ref="I46:I47"/>
  </mergeCells>
  <phoneticPr fontId="1"/>
  <conditionalFormatting sqref="H15:H32">
    <cfRule type="expression" dxfId="31" priority="5">
      <formula>$H15="進行中"</formula>
    </cfRule>
  </conditionalFormatting>
  <conditionalFormatting sqref="H48:H66">
    <cfRule type="expression" dxfId="30" priority="1">
      <formula>$H48="進行中"</formula>
    </cfRule>
  </conditionalFormatting>
  <conditionalFormatting sqref="H15:N32">
    <cfRule type="expression" dxfId="29" priority="6">
      <formula>$H15="NG"</formula>
    </cfRule>
    <cfRule type="expression" dxfId="28" priority="7">
      <formula>$H15="確認不可"</formula>
    </cfRule>
    <cfRule type="expression" dxfId="27" priority="8">
      <formula>$H15="確認完了"</formula>
    </cfRule>
  </conditionalFormatting>
  <conditionalFormatting sqref="H48:N66">
    <cfRule type="expression" dxfId="26" priority="2">
      <formula>$H48="NG"</formula>
    </cfRule>
    <cfRule type="expression" dxfId="25" priority="3">
      <formula>$H48="確認不可"</formula>
    </cfRule>
    <cfRule type="expression" dxfId="24" priority="4">
      <formula>$H48="確認完了"</formula>
    </cfRule>
  </conditionalFormatting>
  <pageMargins left="0.7" right="0.7" top="0.75" bottom="0.75" header="0.3" footer="0.3"/>
  <pageSetup paperSize="9" scale="38" orientation="portrait" horizontalDpi="4294967293" r:id="rId1"/>
  <extLst>
    <ext xmlns:x14="http://schemas.microsoft.com/office/spreadsheetml/2009/9/main" uri="{CCE6A557-97BC-4b89-ADB6-D9C93CAAB3DF}">
      <x14:dataValidations xmlns:xm="http://schemas.microsoft.com/office/excel/2006/main" count="1">
        <x14:dataValidation type="list" allowBlank="1" showInputMessage="1" showErrorMessage="1" xr:uid="{53AA89E0-9299-4C4B-8E15-E95B6B0A0BDB}">
          <x14:formula1>
            <xm:f>定義!$D$1:$D$5</xm:f>
          </x14:formula1>
          <xm:sqref>H48:H66 H15:H32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54B26-3C47-487C-AB91-EF46D1EDF4CD}">
  <dimension ref="B2:N164"/>
  <sheetViews>
    <sheetView workbookViewId="0">
      <selection activeCell="G104" sqref="G104"/>
    </sheetView>
  </sheetViews>
  <sheetFormatPr defaultColWidth="9" defaultRowHeight="15"/>
  <cols>
    <col min="1" max="1" width="3.59765625" style="4" customWidth="1"/>
    <col min="2" max="2" width="4.5" style="10" bestFit="1" customWidth="1"/>
    <col min="3" max="3" width="22.19921875" style="4" bestFit="1" customWidth="1"/>
    <col min="4" max="4" width="15.3984375" style="4" bestFit="1" customWidth="1"/>
    <col min="5" max="5" width="35.3984375" style="4" bestFit="1" customWidth="1"/>
    <col min="6" max="6" width="4.5" style="4" bestFit="1" customWidth="1"/>
    <col min="7" max="7" width="63.3984375" style="4" bestFit="1" customWidth="1"/>
    <col min="8" max="8" width="7.5" style="4" bestFit="1" customWidth="1"/>
    <col min="9" max="9" width="6.59765625" style="4" bestFit="1" customWidth="1"/>
    <col min="10" max="11" width="6" style="4" bestFit="1" customWidth="1"/>
    <col min="12" max="12" width="4.5" style="4" bestFit="1" customWidth="1"/>
    <col min="13" max="13" width="7.5" style="4" bestFit="1" customWidth="1"/>
    <col min="14" max="14" width="21.5" style="4" customWidth="1"/>
    <col min="15" max="16384" width="9" style="4"/>
  </cols>
  <sheetData>
    <row r="2" spans="2:14" ht="19.8">
      <c r="B2" s="11" t="s">
        <v>74</v>
      </c>
    </row>
    <row r="4" spans="2:14">
      <c r="B4" s="15" t="s">
        <v>70</v>
      </c>
      <c r="C4" s="16"/>
      <c r="D4" s="3" t="str">
        <f>定義!B4</f>
        <v>1.0.4</v>
      </c>
    </row>
    <row r="5" spans="2:14">
      <c r="B5" s="17" t="s">
        <v>73</v>
      </c>
      <c r="C5" s="18"/>
      <c r="D5" s="3">
        <f>COUNT(B15:B82)</f>
        <v>68</v>
      </c>
    </row>
    <row r="6" spans="2:14">
      <c r="B6" s="19" t="s">
        <v>72</v>
      </c>
      <c r="C6" s="20"/>
      <c r="D6" s="13">
        <f xml:space="preserve"> D9 / COUNT(B15:B82)</f>
        <v>0</v>
      </c>
    </row>
    <row r="7" spans="2:14">
      <c r="B7" s="19" t="s">
        <v>57</v>
      </c>
      <c r="C7" s="20"/>
      <c r="D7" s="12">
        <f>COUNTIF($H$15:$H$82,"未着手")</f>
        <v>68</v>
      </c>
    </row>
    <row r="8" spans="2:14">
      <c r="B8" s="19" t="s">
        <v>58</v>
      </c>
      <c r="C8" s="20"/>
      <c r="D8" s="12">
        <f>COUNTIF($H$15:$H$82,"進行中")</f>
        <v>0</v>
      </c>
    </row>
    <row r="9" spans="2:14">
      <c r="B9" s="19" t="s">
        <v>71</v>
      </c>
      <c r="C9" s="20"/>
      <c r="D9" s="12">
        <f>COUNTIF($H$15:$H$82,"確認完了")</f>
        <v>0</v>
      </c>
    </row>
    <row r="10" spans="2:14">
      <c r="B10" s="19" t="s">
        <v>60</v>
      </c>
      <c r="C10" s="20"/>
      <c r="D10" s="12">
        <f>COUNTIF($H$15:$H$82,"確認不可")</f>
        <v>0</v>
      </c>
    </row>
    <row r="11" spans="2:14">
      <c r="B11" s="19" t="s">
        <v>61</v>
      </c>
      <c r="C11" s="20"/>
      <c r="D11" s="12">
        <f>COUNTIF($H$15:$H$82,"NG")</f>
        <v>0</v>
      </c>
    </row>
    <row r="13" spans="2:14">
      <c r="B13" s="14" t="s">
        <v>0</v>
      </c>
      <c r="C13" s="14" t="s">
        <v>1</v>
      </c>
      <c r="D13" s="14"/>
      <c r="E13" s="14"/>
      <c r="F13" s="14"/>
      <c r="G13" s="21"/>
      <c r="H13" s="22" t="s">
        <v>51</v>
      </c>
      <c r="I13" s="14" t="s">
        <v>5</v>
      </c>
      <c r="J13" s="24" t="s">
        <v>2</v>
      </c>
      <c r="K13" s="14" t="s">
        <v>6</v>
      </c>
      <c r="L13" s="14" t="s">
        <v>3</v>
      </c>
      <c r="M13" s="14" t="s">
        <v>4</v>
      </c>
      <c r="N13" s="14" t="s">
        <v>7</v>
      </c>
    </row>
    <row r="14" spans="2:14">
      <c r="B14" s="14"/>
      <c r="C14" s="1" t="s">
        <v>8</v>
      </c>
      <c r="D14" s="1" t="s">
        <v>9</v>
      </c>
      <c r="E14" s="1" t="s">
        <v>10</v>
      </c>
      <c r="F14" s="1" t="s">
        <v>11</v>
      </c>
      <c r="G14" s="2" t="s">
        <v>14</v>
      </c>
      <c r="H14" s="23"/>
      <c r="I14" s="14"/>
      <c r="J14" s="24"/>
      <c r="K14" s="14"/>
      <c r="L14" s="14"/>
      <c r="M14" s="14"/>
      <c r="N14" s="14"/>
    </row>
    <row r="15" spans="2:14">
      <c r="B15" s="5">
        <v>1</v>
      </c>
      <c r="C15" s="6" t="s">
        <v>16</v>
      </c>
      <c r="D15" s="6" t="s">
        <v>12</v>
      </c>
      <c r="E15" s="6" t="s">
        <v>13</v>
      </c>
      <c r="F15" s="6" t="s">
        <v>13</v>
      </c>
      <c r="G15" s="7" t="s">
        <v>15</v>
      </c>
      <c r="H15" s="5" t="s">
        <v>57</v>
      </c>
      <c r="I15" s="6"/>
      <c r="J15" s="8"/>
      <c r="K15" s="6"/>
      <c r="L15" s="6"/>
      <c r="M15" s="6"/>
      <c r="N15" s="6"/>
    </row>
    <row r="16" spans="2:14">
      <c r="B16" s="5">
        <v>2</v>
      </c>
      <c r="C16" s="6" t="s">
        <v>17</v>
      </c>
      <c r="D16" s="6" t="s">
        <v>18</v>
      </c>
      <c r="E16" s="6" t="s">
        <v>13</v>
      </c>
      <c r="F16" s="6" t="s">
        <v>13</v>
      </c>
      <c r="G16" s="7" t="s">
        <v>39</v>
      </c>
      <c r="H16" s="5" t="s">
        <v>57</v>
      </c>
      <c r="I16" s="6"/>
      <c r="J16" s="8"/>
      <c r="K16" s="6"/>
      <c r="L16" s="6"/>
      <c r="M16" s="6"/>
      <c r="N16" s="6"/>
    </row>
    <row r="17" spans="2:14">
      <c r="B17" s="5">
        <v>3</v>
      </c>
      <c r="C17" s="6" t="s">
        <v>19</v>
      </c>
      <c r="D17" s="6" t="s">
        <v>20</v>
      </c>
      <c r="E17" s="6" t="s">
        <v>13</v>
      </c>
      <c r="F17" s="6" t="s">
        <v>13</v>
      </c>
      <c r="G17" s="7" t="s">
        <v>21</v>
      </c>
      <c r="H17" s="5" t="s">
        <v>57</v>
      </c>
      <c r="I17" s="6"/>
      <c r="J17" s="8"/>
      <c r="K17" s="6"/>
      <c r="L17" s="6"/>
      <c r="M17" s="6"/>
      <c r="N17" s="6"/>
    </row>
    <row r="18" spans="2:14">
      <c r="B18" s="5">
        <v>4</v>
      </c>
      <c r="C18" s="6" t="s">
        <v>22</v>
      </c>
      <c r="D18" s="6" t="s">
        <v>20</v>
      </c>
      <c r="E18" s="6" t="s">
        <v>13</v>
      </c>
      <c r="F18" s="6" t="s">
        <v>13</v>
      </c>
      <c r="G18" s="7" t="s">
        <v>23</v>
      </c>
      <c r="H18" s="5" t="s">
        <v>57</v>
      </c>
      <c r="I18" s="6"/>
      <c r="J18" s="8"/>
      <c r="K18" s="6"/>
      <c r="L18" s="6"/>
      <c r="M18" s="6"/>
      <c r="N18" s="6"/>
    </row>
    <row r="19" spans="2:14">
      <c r="B19" s="5">
        <v>5</v>
      </c>
      <c r="C19" s="6" t="s">
        <v>30</v>
      </c>
      <c r="D19" s="6" t="s">
        <v>20</v>
      </c>
      <c r="E19" s="6" t="s">
        <v>13</v>
      </c>
      <c r="F19" s="6" t="s">
        <v>13</v>
      </c>
      <c r="G19" s="7" t="s">
        <v>38</v>
      </c>
      <c r="H19" s="5" t="s">
        <v>57</v>
      </c>
      <c r="I19" s="6"/>
      <c r="J19" s="8"/>
      <c r="K19" s="6"/>
      <c r="L19" s="6"/>
      <c r="M19" s="6"/>
      <c r="N19" s="6"/>
    </row>
    <row r="20" spans="2:14">
      <c r="B20" s="5">
        <v>6</v>
      </c>
      <c r="C20" s="6" t="s">
        <v>37</v>
      </c>
      <c r="D20" s="6" t="s">
        <v>36</v>
      </c>
      <c r="E20" s="6" t="s">
        <v>13</v>
      </c>
      <c r="F20" s="6" t="s">
        <v>13</v>
      </c>
      <c r="G20" s="7" t="s">
        <v>40</v>
      </c>
      <c r="H20" s="5" t="s">
        <v>57</v>
      </c>
      <c r="I20" s="6"/>
      <c r="J20" s="8"/>
      <c r="K20" s="6"/>
      <c r="L20" s="6"/>
      <c r="M20" s="6"/>
      <c r="N20" s="6"/>
    </row>
    <row r="21" spans="2:14">
      <c r="B21" s="5">
        <v>7</v>
      </c>
      <c r="C21" s="6" t="s">
        <v>107</v>
      </c>
      <c r="D21" s="6" t="s">
        <v>143</v>
      </c>
      <c r="E21" s="6" t="s">
        <v>13</v>
      </c>
      <c r="F21" s="6" t="s">
        <v>13</v>
      </c>
      <c r="G21" s="7" t="s">
        <v>144</v>
      </c>
      <c r="H21" s="5" t="s">
        <v>57</v>
      </c>
      <c r="I21" s="6"/>
      <c r="J21" s="8"/>
      <c r="K21" s="6"/>
      <c r="L21" s="6"/>
      <c r="M21" s="6"/>
      <c r="N21" s="6"/>
    </row>
    <row r="22" spans="2:14">
      <c r="B22" s="5">
        <v>8</v>
      </c>
      <c r="C22" s="6" t="s">
        <v>108</v>
      </c>
      <c r="D22" s="6" t="s">
        <v>47</v>
      </c>
      <c r="E22" s="6" t="s">
        <v>13</v>
      </c>
      <c r="F22" s="6" t="s">
        <v>13</v>
      </c>
      <c r="G22" s="7" t="s">
        <v>48</v>
      </c>
      <c r="H22" s="5" t="s">
        <v>57</v>
      </c>
      <c r="I22" s="6"/>
      <c r="J22" s="8"/>
      <c r="K22" s="6"/>
      <c r="L22" s="6"/>
      <c r="M22" s="6"/>
      <c r="N22" s="6"/>
    </row>
    <row r="23" spans="2:14" ht="30">
      <c r="B23" s="5">
        <v>9</v>
      </c>
      <c r="C23" s="6" t="s">
        <v>110</v>
      </c>
      <c r="D23" s="6" t="s">
        <v>20</v>
      </c>
      <c r="E23" s="6" t="s">
        <v>13</v>
      </c>
      <c r="F23" s="6" t="s">
        <v>13</v>
      </c>
      <c r="G23" s="9" t="s">
        <v>152</v>
      </c>
      <c r="H23" s="5" t="s">
        <v>57</v>
      </c>
      <c r="I23" s="6"/>
      <c r="J23" s="8"/>
      <c r="K23" s="6"/>
      <c r="L23" s="6"/>
      <c r="M23" s="6"/>
      <c r="N23" s="6"/>
    </row>
    <row r="24" spans="2:14">
      <c r="B24" s="5">
        <v>10</v>
      </c>
      <c r="C24" s="6" t="s">
        <v>80</v>
      </c>
      <c r="D24" s="6" t="s">
        <v>20</v>
      </c>
      <c r="E24" s="6" t="s">
        <v>13</v>
      </c>
      <c r="F24" s="6" t="s">
        <v>13</v>
      </c>
      <c r="G24" s="7" t="s">
        <v>38</v>
      </c>
      <c r="H24" s="5" t="s">
        <v>57</v>
      </c>
      <c r="I24" s="6"/>
      <c r="J24" s="8"/>
      <c r="K24" s="6"/>
      <c r="L24" s="6"/>
      <c r="M24" s="6"/>
      <c r="N24" s="6"/>
    </row>
    <row r="25" spans="2:14">
      <c r="B25" s="5">
        <v>11</v>
      </c>
      <c r="C25" s="6" t="s">
        <v>82</v>
      </c>
      <c r="D25" s="6" t="s">
        <v>36</v>
      </c>
      <c r="E25" s="6" t="s">
        <v>13</v>
      </c>
      <c r="F25" s="6" t="s">
        <v>13</v>
      </c>
      <c r="G25" s="7" t="s">
        <v>40</v>
      </c>
      <c r="H25" s="5" t="s">
        <v>57</v>
      </c>
      <c r="I25" s="6"/>
      <c r="J25" s="8"/>
      <c r="K25" s="6"/>
      <c r="L25" s="6"/>
      <c r="M25" s="6"/>
      <c r="N25" s="6"/>
    </row>
    <row r="26" spans="2:14">
      <c r="B26" s="5">
        <v>12</v>
      </c>
      <c r="C26" s="6" t="s">
        <v>112</v>
      </c>
      <c r="D26" s="6" t="s">
        <v>47</v>
      </c>
      <c r="E26" s="6" t="s">
        <v>13</v>
      </c>
      <c r="F26" s="6" t="s">
        <v>13</v>
      </c>
      <c r="G26" s="7" t="s">
        <v>48</v>
      </c>
      <c r="H26" s="5" t="s">
        <v>57</v>
      </c>
      <c r="I26" s="6"/>
      <c r="J26" s="8"/>
      <c r="K26" s="6"/>
      <c r="L26" s="6"/>
      <c r="M26" s="6"/>
      <c r="N26" s="6"/>
    </row>
    <row r="27" spans="2:14" ht="30">
      <c r="B27" s="5">
        <v>13</v>
      </c>
      <c r="C27" s="6" t="s">
        <v>109</v>
      </c>
      <c r="D27" s="6" t="s">
        <v>20</v>
      </c>
      <c r="E27" s="6" t="s">
        <v>13</v>
      </c>
      <c r="F27" s="6" t="s">
        <v>13</v>
      </c>
      <c r="G27" s="9" t="s">
        <v>152</v>
      </c>
      <c r="H27" s="5" t="s">
        <v>57</v>
      </c>
      <c r="I27" s="6"/>
      <c r="J27" s="8"/>
      <c r="K27" s="6"/>
      <c r="L27" s="6"/>
      <c r="M27" s="6"/>
      <c r="N27" s="6"/>
    </row>
    <row r="28" spans="2:14">
      <c r="B28" s="5">
        <v>14</v>
      </c>
      <c r="C28" s="6" t="s">
        <v>113</v>
      </c>
      <c r="D28" s="6" t="s">
        <v>20</v>
      </c>
      <c r="E28" s="6" t="s">
        <v>13</v>
      </c>
      <c r="F28" s="6" t="s">
        <v>13</v>
      </c>
      <c r="G28" s="7" t="s">
        <v>38</v>
      </c>
      <c r="H28" s="5" t="s">
        <v>57</v>
      </c>
      <c r="I28" s="6"/>
      <c r="J28" s="8"/>
      <c r="K28" s="6"/>
      <c r="L28" s="6"/>
      <c r="M28" s="6"/>
      <c r="N28" s="6"/>
    </row>
    <row r="29" spans="2:14">
      <c r="B29" s="5">
        <v>15</v>
      </c>
      <c r="C29" s="6" t="s">
        <v>114</v>
      </c>
      <c r="D29" s="6" t="s">
        <v>36</v>
      </c>
      <c r="E29" s="6" t="s">
        <v>13</v>
      </c>
      <c r="F29" s="6" t="s">
        <v>13</v>
      </c>
      <c r="G29" s="7" t="s">
        <v>40</v>
      </c>
      <c r="H29" s="5" t="s">
        <v>57</v>
      </c>
      <c r="I29" s="6"/>
      <c r="J29" s="8"/>
      <c r="K29" s="6"/>
      <c r="L29" s="6"/>
      <c r="M29" s="6"/>
      <c r="N29" s="6"/>
    </row>
    <row r="30" spans="2:14">
      <c r="B30" s="5">
        <v>16</v>
      </c>
      <c r="C30" s="6" t="s">
        <v>115</v>
      </c>
      <c r="D30" s="6" t="s">
        <v>20</v>
      </c>
      <c r="E30" s="6" t="s">
        <v>13</v>
      </c>
      <c r="F30" s="6" t="s">
        <v>13</v>
      </c>
      <c r="G30" s="7" t="s">
        <v>38</v>
      </c>
      <c r="H30" s="5" t="s">
        <v>57</v>
      </c>
      <c r="I30" s="6"/>
      <c r="J30" s="8"/>
      <c r="K30" s="6"/>
      <c r="L30" s="6"/>
      <c r="M30" s="6"/>
      <c r="N30" s="6"/>
    </row>
    <row r="31" spans="2:14">
      <c r="B31" s="5">
        <v>17</v>
      </c>
      <c r="C31" s="6" t="s">
        <v>116</v>
      </c>
      <c r="D31" s="6" t="s">
        <v>36</v>
      </c>
      <c r="E31" s="6" t="s">
        <v>13</v>
      </c>
      <c r="F31" s="6" t="s">
        <v>13</v>
      </c>
      <c r="G31" s="7" t="s">
        <v>40</v>
      </c>
      <c r="H31" s="5" t="s">
        <v>57</v>
      </c>
      <c r="I31" s="6"/>
      <c r="J31" s="8"/>
      <c r="K31" s="6"/>
      <c r="L31" s="6"/>
      <c r="M31" s="6"/>
      <c r="N31" s="6"/>
    </row>
    <row r="32" spans="2:14">
      <c r="B32" s="5">
        <v>18</v>
      </c>
      <c r="C32" s="6" t="s">
        <v>117</v>
      </c>
      <c r="D32" s="6" t="s">
        <v>20</v>
      </c>
      <c r="E32" s="6" t="s">
        <v>13</v>
      </c>
      <c r="F32" s="6" t="s">
        <v>13</v>
      </c>
      <c r="G32" s="7" t="s">
        <v>38</v>
      </c>
      <c r="H32" s="5" t="s">
        <v>57</v>
      </c>
      <c r="I32" s="6"/>
      <c r="J32" s="8"/>
      <c r="K32" s="6"/>
      <c r="L32" s="6"/>
      <c r="M32" s="6"/>
      <c r="N32" s="6"/>
    </row>
    <row r="33" spans="2:14">
      <c r="B33" s="5">
        <v>19</v>
      </c>
      <c r="C33" s="6" t="s">
        <v>157</v>
      </c>
      <c r="D33" s="6" t="s">
        <v>36</v>
      </c>
      <c r="E33" s="6" t="s">
        <v>13</v>
      </c>
      <c r="F33" s="6" t="s">
        <v>13</v>
      </c>
      <c r="G33" s="7" t="s">
        <v>40</v>
      </c>
      <c r="H33" s="5" t="s">
        <v>57</v>
      </c>
      <c r="I33" s="6"/>
      <c r="J33" s="8"/>
      <c r="K33" s="6"/>
      <c r="L33" s="6"/>
      <c r="M33" s="6"/>
      <c r="N33" s="6"/>
    </row>
    <row r="34" spans="2:14">
      <c r="B34" s="5">
        <v>20</v>
      </c>
      <c r="C34" s="6" t="s">
        <v>118</v>
      </c>
      <c r="D34" s="6" t="s">
        <v>143</v>
      </c>
      <c r="E34" s="6" t="s">
        <v>13</v>
      </c>
      <c r="F34" s="6" t="s">
        <v>13</v>
      </c>
      <c r="G34" s="7" t="s">
        <v>158</v>
      </c>
      <c r="H34" s="5" t="s">
        <v>57</v>
      </c>
      <c r="I34" s="6"/>
      <c r="J34" s="8"/>
      <c r="K34" s="6"/>
      <c r="L34" s="6"/>
      <c r="M34" s="6"/>
      <c r="N34" s="6"/>
    </row>
    <row r="35" spans="2:14">
      <c r="B35" s="5">
        <v>21</v>
      </c>
      <c r="C35" s="6" t="s">
        <v>119</v>
      </c>
      <c r="D35" s="6" t="s">
        <v>20</v>
      </c>
      <c r="E35" s="6" t="s">
        <v>13</v>
      </c>
      <c r="F35" s="6" t="s">
        <v>13</v>
      </c>
      <c r="G35" s="7" t="s">
        <v>38</v>
      </c>
      <c r="H35" s="5" t="s">
        <v>57</v>
      </c>
      <c r="I35" s="6"/>
      <c r="J35" s="8"/>
      <c r="K35" s="6"/>
      <c r="L35" s="6"/>
      <c r="M35" s="6"/>
      <c r="N35" s="6"/>
    </row>
    <row r="36" spans="2:14">
      <c r="B36" s="5">
        <v>22</v>
      </c>
      <c r="C36" s="6" t="s">
        <v>120</v>
      </c>
      <c r="D36" s="6" t="s">
        <v>36</v>
      </c>
      <c r="E36" s="6" t="s">
        <v>13</v>
      </c>
      <c r="F36" s="6" t="s">
        <v>13</v>
      </c>
      <c r="G36" s="7" t="s">
        <v>40</v>
      </c>
      <c r="H36" s="5" t="s">
        <v>57</v>
      </c>
      <c r="I36" s="6"/>
      <c r="J36" s="8"/>
      <c r="K36" s="6"/>
      <c r="L36" s="6"/>
      <c r="M36" s="6"/>
      <c r="N36" s="6"/>
    </row>
    <row r="37" spans="2:14">
      <c r="B37" s="5">
        <v>23</v>
      </c>
      <c r="C37" s="6" t="s">
        <v>159</v>
      </c>
      <c r="D37" s="6" t="s">
        <v>143</v>
      </c>
      <c r="E37" s="6" t="s">
        <v>13</v>
      </c>
      <c r="F37" s="6" t="s">
        <v>13</v>
      </c>
      <c r="G37" s="7" t="s">
        <v>160</v>
      </c>
      <c r="H37" s="5" t="s">
        <v>57</v>
      </c>
      <c r="I37" s="6"/>
      <c r="J37" s="8"/>
      <c r="K37" s="6"/>
      <c r="L37" s="6"/>
      <c r="M37" s="6"/>
      <c r="N37" s="6"/>
    </row>
    <row r="38" spans="2:14">
      <c r="B38" s="5">
        <v>24</v>
      </c>
      <c r="C38" s="6" t="s">
        <v>84</v>
      </c>
      <c r="D38" s="6" t="s">
        <v>20</v>
      </c>
      <c r="E38" s="6" t="s">
        <v>13</v>
      </c>
      <c r="F38" s="6" t="s">
        <v>13</v>
      </c>
      <c r="G38" s="7" t="s">
        <v>38</v>
      </c>
      <c r="H38" s="5" t="s">
        <v>57</v>
      </c>
      <c r="I38" s="6"/>
      <c r="J38" s="8"/>
      <c r="K38" s="6"/>
      <c r="L38" s="6"/>
      <c r="M38" s="6"/>
      <c r="N38" s="6"/>
    </row>
    <row r="39" spans="2:14">
      <c r="B39" s="5">
        <v>25</v>
      </c>
      <c r="C39" s="6" t="s">
        <v>85</v>
      </c>
      <c r="D39" s="6" t="s">
        <v>36</v>
      </c>
      <c r="E39" s="6" t="s">
        <v>13</v>
      </c>
      <c r="F39" s="6" t="s">
        <v>13</v>
      </c>
      <c r="G39" s="7" t="s">
        <v>40</v>
      </c>
      <c r="H39" s="5" t="s">
        <v>57</v>
      </c>
      <c r="I39" s="6"/>
      <c r="J39" s="8"/>
      <c r="K39" s="6"/>
      <c r="L39" s="6"/>
      <c r="M39" s="6"/>
      <c r="N39" s="6"/>
    </row>
    <row r="40" spans="2:14">
      <c r="B40" s="5">
        <v>26</v>
      </c>
      <c r="C40" s="6" t="s">
        <v>86</v>
      </c>
      <c r="D40" s="6" t="s">
        <v>43</v>
      </c>
      <c r="E40" s="6" t="s">
        <v>44</v>
      </c>
      <c r="F40" s="6"/>
      <c r="G40" s="7" t="s">
        <v>45</v>
      </c>
      <c r="H40" s="5" t="s">
        <v>57</v>
      </c>
      <c r="I40" s="6"/>
      <c r="J40" s="8"/>
      <c r="K40" s="6"/>
      <c r="L40" s="6"/>
      <c r="M40" s="6"/>
      <c r="N40" s="6"/>
    </row>
    <row r="41" spans="2:14">
      <c r="B41" s="5">
        <v>27</v>
      </c>
      <c r="C41" s="6" t="s">
        <v>121</v>
      </c>
      <c r="D41" s="6" t="s">
        <v>20</v>
      </c>
      <c r="E41" s="6" t="s">
        <v>13</v>
      </c>
      <c r="F41" s="6" t="s">
        <v>13</v>
      </c>
      <c r="G41" s="7" t="s">
        <v>38</v>
      </c>
      <c r="H41" s="5" t="s">
        <v>57</v>
      </c>
      <c r="I41" s="6"/>
      <c r="J41" s="8"/>
      <c r="K41" s="6"/>
      <c r="L41" s="6"/>
      <c r="M41" s="6"/>
      <c r="N41" s="6"/>
    </row>
    <row r="42" spans="2:14">
      <c r="B42" s="5">
        <v>28</v>
      </c>
      <c r="C42" s="6" t="s">
        <v>122</v>
      </c>
      <c r="D42" s="6" t="s">
        <v>36</v>
      </c>
      <c r="E42" s="6" t="s">
        <v>13</v>
      </c>
      <c r="F42" s="6" t="s">
        <v>13</v>
      </c>
      <c r="G42" s="7" t="s">
        <v>40</v>
      </c>
      <c r="H42" s="5" t="s">
        <v>57</v>
      </c>
      <c r="I42" s="6"/>
      <c r="J42" s="8"/>
      <c r="K42" s="6"/>
      <c r="L42" s="6"/>
      <c r="M42" s="6"/>
      <c r="N42" s="6"/>
    </row>
    <row r="43" spans="2:14">
      <c r="B43" s="5">
        <v>29</v>
      </c>
      <c r="C43" s="6" t="s">
        <v>145</v>
      </c>
      <c r="D43" s="6" t="s">
        <v>43</v>
      </c>
      <c r="E43" s="6" t="s">
        <v>146</v>
      </c>
      <c r="F43" s="6"/>
      <c r="G43" s="7" t="s">
        <v>45</v>
      </c>
      <c r="H43" s="5" t="s">
        <v>57</v>
      </c>
      <c r="I43" s="6"/>
      <c r="J43" s="8"/>
      <c r="K43" s="6"/>
      <c r="L43" s="6"/>
      <c r="M43" s="6"/>
      <c r="N43" s="6"/>
    </row>
    <row r="44" spans="2:14">
      <c r="B44" s="5">
        <v>30</v>
      </c>
      <c r="C44" s="6" t="s">
        <v>112</v>
      </c>
      <c r="D44" s="6" t="s">
        <v>47</v>
      </c>
      <c r="E44" s="6" t="s">
        <v>13</v>
      </c>
      <c r="F44" s="6" t="s">
        <v>13</v>
      </c>
      <c r="G44" s="7" t="s">
        <v>48</v>
      </c>
      <c r="H44" s="5" t="s">
        <v>57</v>
      </c>
      <c r="I44" s="6"/>
      <c r="J44" s="8"/>
      <c r="K44" s="6"/>
      <c r="L44" s="6"/>
      <c r="M44" s="6"/>
      <c r="N44" s="6"/>
    </row>
    <row r="45" spans="2:14">
      <c r="B45" s="5">
        <v>31</v>
      </c>
      <c r="C45" s="6" t="s">
        <v>123</v>
      </c>
      <c r="D45" s="6" t="s">
        <v>47</v>
      </c>
      <c r="E45" s="6" t="s">
        <v>13</v>
      </c>
      <c r="F45" s="6" t="s">
        <v>13</v>
      </c>
      <c r="G45" s="7" t="s">
        <v>48</v>
      </c>
      <c r="H45" s="5" t="s">
        <v>57</v>
      </c>
      <c r="I45" s="6"/>
      <c r="J45" s="8"/>
      <c r="K45" s="6"/>
      <c r="L45" s="6"/>
      <c r="M45" s="6"/>
      <c r="N45" s="6"/>
    </row>
    <row r="46" spans="2:14" ht="30">
      <c r="B46" s="5">
        <v>32</v>
      </c>
      <c r="C46" s="6" t="s">
        <v>109</v>
      </c>
      <c r="D46" s="6" t="s">
        <v>20</v>
      </c>
      <c r="E46" s="6" t="s">
        <v>13</v>
      </c>
      <c r="F46" s="6" t="s">
        <v>13</v>
      </c>
      <c r="G46" s="9" t="s">
        <v>152</v>
      </c>
      <c r="H46" s="5" t="s">
        <v>57</v>
      </c>
      <c r="I46" s="6"/>
      <c r="J46" s="8"/>
      <c r="K46" s="6"/>
      <c r="L46" s="6"/>
      <c r="M46" s="6"/>
      <c r="N46" s="6"/>
    </row>
    <row r="47" spans="2:14">
      <c r="B47" s="5">
        <v>33</v>
      </c>
      <c r="C47" s="6" t="s">
        <v>124</v>
      </c>
      <c r="D47" s="6" t="s">
        <v>20</v>
      </c>
      <c r="E47" s="6" t="s">
        <v>13</v>
      </c>
      <c r="F47" s="6" t="s">
        <v>13</v>
      </c>
      <c r="G47" s="7" t="s">
        <v>38</v>
      </c>
      <c r="H47" s="5" t="s">
        <v>57</v>
      </c>
      <c r="I47" s="6"/>
      <c r="J47" s="8"/>
      <c r="K47" s="6"/>
      <c r="L47" s="6"/>
      <c r="M47" s="6"/>
      <c r="N47" s="6"/>
    </row>
    <row r="48" spans="2:14">
      <c r="B48" s="5">
        <v>34</v>
      </c>
      <c r="C48" s="6" t="s">
        <v>155</v>
      </c>
      <c r="D48" s="6" t="s">
        <v>36</v>
      </c>
      <c r="E48" s="6" t="s">
        <v>13</v>
      </c>
      <c r="F48" s="6" t="s">
        <v>13</v>
      </c>
      <c r="G48" s="7" t="s">
        <v>40</v>
      </c>
      <c r="H48" s="5" t="s">
        <v>57</v>
      </c>
      <c r="I48" s="6"/>
      <c r="J48" s="8"/>
      <c r="K48" s="6"/>
      <c r="L48" s="6"/>
      <c r="M48" s="6"/>
      <c r="N48" s="6"/>
    </row>
    <row r="49" spans="2:14">
      <c r="B49" s="5">
        <v>35</v>
      </c>
      <c r="C49" s="6" t="s">
        <v>147</v>
      </c>
      <c r="D49" s="6" t="s">
        <v>143</v>
      </c>
      <c r="E49" s="6" t="s">
        <v>13</v>
      </c>
      <c r="F49" s="6" t="s">
        <v>13</v>
      </c>
      <c r="G49" s="7" t="s">
        <v>156</v>
      </c>
      <c r="H49" s="5" t="s">
        <v>57</v>
      </c>
      <c r="I49" s="6"/>
      <c r="J49" s="8"/>
      <c r="K49" s="6"/>
      <c r="L49" s="6"/>
      <c r="M49" s="6"/>
      <c r="N49" s="6"/>
    </row>
    <row r="50" spans="2:14">
      <c r="B50" s="5">
        <v>36</v>
      </c>
      <c r="C50" s="6" t="s">
        <v>125</v>
      </c>
      <c r="D50" s="6" t="s">
        <v>20</v>
      </c>
      <c r="E50" s="6" t="s">
        <v>13</v>
      </c>
      <c r="F50" s="6" t="s">
        <v>13</v>
      </c>
      <c r="G50" s="7" t="s">
        <v>38</v>
      </c>
      <c r="H50" s="5" t="s">
        <v>57</v>
      </c>
      <c r="I50" s="6"/>
      <c r="J50" s="8"/>
      <c r="K50" s="6"/>
      <c r="L50" s="6"/>
      <c r="M50" s="6"/>
      <c r="N50" s="6"/>
    </row>
    <row r="51" spans="2:14">
      <c r="B51" s="5">
        <v>37</v>
      </c>
      <c r="C51" s="6" t="s">
        <v>126</v>
      </c>
      <c r="D51" s="6" t="s">
        <v>36</v>
      </c>
      <c r="E51" s="6" t="s">
        <v>13</v>
      </c>
      <c r="F51" s="6" t="s">
        <v>13</v>
      </c>
      <c r="G51" s="7" t="s">
        <v>40</v>
      </c>
      <c r="H51" s="5" t="s">
        <v>57</v>
      </c>
      <c r="I51" s="6"/>
      <c r="J51" s="8"/>
      <c r="K51" s="6"/>
      <c r="L51" s="6"/>
      <c r="M51" s="6"/>
      <c r="N51" s="6"/>
    </row>
    <row r="52" spans="2:14">
      <c r="B52" s="5">
        <v>38</v>
      </c>
      <c r="C52" s="6" t="s">
        <v>127</v>
      </c>
      <c r="D52" s="6" t="s">
        <v>20</v>
      </c>
      <c r="E52" s="6" t="s">
        <v>13</v>
      </c>
      <c r="F52" s="6" t="s">
        <v>13</v>
      </c>
      <c r="G52" s="7" t="s">
        <v>38</v>
      </c>
      <c r="H52" s="5" t="s">
        <v>57</v>
      </c>
      <c r="I52" s="6"/>
      <c r="J52" s="8"/>
      <c r="K52" s="6"/>
      <c r="L52" s="6"/>
      <c r="M52" s="6"/>
      <c r="N52" s="6"/>
    </row>
    <row r="53" spans="2:14">
      <c r="B53" s="5">
        <v>39</v>
      </c>
      <c r="C53" s="6" t="s">
        <v>128</v>
      </c>
      <c r="D53" s="6" t="s">
        <v>148</v>
      </c>
      <c r="E53" s="6" t="s">
        <v>13</v>
      </c>
      <c r="F53" s="6" t="s">
        <v>13</v>
      </c>
      <c r="G53" s="7" t="s">
        <v>153</v>
      </c>
      <c r="H53" s="5" t="s">
        <v>57</v>
      </c>
      <c r="I53" s="6"/>
      <c r="J53" s="8"/>
      <c r="K53" s="6"/>
      <c r="L53" s="6"/>
      <c r="M53" s="6"/>
      <c r="N53" s="6"/>
    </row>
    <row r="54" spans="2:14">
      <c r="B54" s="5">
        <v>40</v>
      </c>
      <c r="C54" s="6" t="s">
        <v>111</v>
      </c>
      <c r="D54" s="6" t="s">
        <v>20</v>
      </c>
      <c r="E54" s="6" t="s">
        <v>13</v>
      </c>
      <c r="F54" s="6" t="s">
        <v>13</v>
      </c>
      <c r="G54" s="7" t="s">
        <v>149</v>
      </c>
      <c r="H54" s="5" t="s">
        <v>57</v>
      </c>
      <c r="I54" s="6"/>
      <c r="J54" s="8"/>
      <c r="K54" s="6"/>
      <c r="L54" s="6"/>
      <c r="M54" s="6"/>
      <c r="N54" s="6"/>
    </row>
    <row r="55" spans="2:14">
      <c r="B55" s="5">
        <v>41</v>
      </c>
      <c r="C55" s="6" t="s">
        <v>112</v>
      </c>
      <c r="D55" s="6" t="s">
        <v>47</v>
      </c>
      <c r="E55" s="6" t="s">
        <v>13</v>
      </c>
      <c r="F55" s="6" t="s">
        <v>13</v>
      </c>
      <c r="G55" s="7" t="s">
        <v>48</v>
      </c>
      <c r="H55" s="5" t="s">
        <v>57</v>
      </c>
      <c r="I55" s="6"/>
      <c r="J55" s="8"/>
      <c r="K55" s="6"/>
      <c r="L55" s="6"/>
      <c r="M55" s="6"/>
      <c r="N55" s="6"/>
    </row>
    <row r="56" spans="2:14">
      <c r="B56" s="5">
        <v>42</v>
      </c>
      <c r="C56" s="6" t="s">
        <v>123</v>
      </c>
      <c r="D56" s="6" t="s">
        <v>47</v>
      </c>
      <c r="E56" s="6" t="s">
        <v>13</v>
      </c>
      <c r="F56" s="6" t="s">
        <v>13</v>
      </c>
      <c r="G56" s="7" t="s">
        <v>48</v>
      </c>
      <c r="H56" s="5" t="s">
        <v>57</v>
      </c>
      <c r="I56" s="6"/>
      <c r="J56" s="8"/>
      <c r="K56" s="6"/>
      <c r="L56" s="6"/>
      <c r="M56" s="6"/>
      <c r="N56" s="6"/>
    </row>
    <row r="57" spans="2:14" ht="30">
      <c r="B57" s="5">
        <v>43</v>
      </c>
      <c r="C57" s="6" t="s">
        <v>109</v>
      </c>
      <c r="D57" s="6" t="s">
        <v>20</v>
      </c>
      <c r="E57" s="6" t="s">
        <v>13</v>
      </c>
      <c r="F57" s="6" t="s">
        <v>13</v>
      </c>
      <c r="G57" s="9" t="s">
        <v>152</v>
      </c>
      <c r="H57" s="5" t="s">
        <v>57</v>
      </c>
      <c r="I57" s="6"/>
      <c r="J57" s="8"/>
      <c r="K57" s="6"/>
      <c r="L57" s="6"/>
      <c r="M57" s="6"/>
      <c r="N57" s="6"/>
    </row>
    <row r="58" spans="2:14" ht="30">
      <c r="B58" s="5">
        <v>44</v>
      </c>
      <c r="C58" s="6" t="s">
        <v>129</v>
      </c>
      <c r="D58" s="6" t="s">
        <v>20</v>
      </c>
      <c r="E58" s="6" t="s">
        <v>13</v>
      </c>
      <c r="F58" s="6" t="s">
        <v>13</v>
      </c>
      <c r="G58" s="9" t="s">
        <v>150</v>
      </c>
      <c r="H58" s="5" t="s">
        <v>57</v>
      </c>
      <c r="I58" s="6"/>
      <c r="J58" s="8"/>
      <c r="K58" s="6"/>
      <c r="L58" s="6"/>
      <c r="M58" s="6"/>
      <c r="N58" s="6"/>
    </row>
    <row r="59" spans="2:14">
      <c r="B59" s="5">
        <v>45</v>
      </c>
      <c r="C59" s="6" t="s">
        <v>130</v>
      </c>
      <c r="D59" s="6" t="s">
        <v>20</v>
      </c>
      <c r="E59" s="6" t="s">
        <v>13</v>
      </c>
      <c r="F59" s="6" t="s">
        <v>13</v>
      </c>
      <c r="G59" s="7" t="s">
        <v>38</v>
      </c>
      <c r="H59" s="5" t="s">
        <v>57</v>
      </c>
      <c r="I59" s="6"/>
      <c r="J59" s="8"/>
      <c r="K59" s="6"/>
      <c r="L59" s="6"/>
      <c r="M59" s="6"/>
      <c r="N59" s="6"/>
    </row>
    <row r="60" spans="2:14">
      <c r="B60" s="5">
        <v>46</v>
      </c>
      <c r="C60" s="6" t="s">
        <v>131</v>
      </c>
      <c r="D60" s="6" t="s">
        <v>151</v>
      </c>
      <c r="E60" s="6" t="s">
        <v>161</v>
      </c>
      <c r="F60" s="6" t="s">
        <v>13</v>
      </c>
      <c r="G60" s="7" t="s">
        <v>154</v>
      </c>
      <c r="H60" s="5" t="s">
        <v>57</v>
      </c>
      <c r="I60" s="6"/>
      <c r="J60" s="8"/>
      <c r="K60" s="6"/>
      <c r="L60" s="6"/>
      <c r="M60" s="6"/>
      <c r="N60" s="6"/>
    </row>
    <row r="61" spans="2:14">
      <c r="B61" s="5">
        <v>47</v>
      </c>
      <c r="C61" s="6" t="s">
        <v>80</v>
      </c>
      <c r="D61" s="6" t="s">
        <v>20</v>
      </c>
      <c r="E61" s="6" t="s">
        <v>13</v>
      </c>
      <c r="F61" s="6" t="s">
        <v>13</v>
      </c>
      <c r="G61" s="7" t="s">
        <v>38</v>
      </c>
      <c r="H61" s="5" t="s">
        <v>57</v>
      </c>
      <c r="I61" s="6"/>
      <c r="J61" s="8"/>
      <c r="K61" s="6"/>
      <c r="L61" s="6"/>
      <c r="M61" s="6"/>
      <c r="N61" s="6"/>
    </row>
    <row r="62" spans="2:14">
      <c r="B62" s="5">
        <v>48</v>
      </c>
      <c r="C62" s="6" t="s">
        <v>132</v>
      </c>
      <c r="D62" s="6" t="s">
        <v>151</v>
      </c>
      <c r="E62" s="6" t="s">
        <v>161</v>
      </c>
      <c r="F62" s="6" t="s">
        <v>13</v>
      </c>
      <c r="G62" s="7" t="s">
        <v>154</v>
      </c>
      <c r="H62" s="5" t="s">
        <v>57</v>
      </c>
      <c r="I62" s="6"/>
      <c r="J62" s="8"/>
      <c r="K62" s="6"/>
      <c r="L62" s="6"/>
      <c r="M62" s="6"/>
      <c r="N62" s="6"/>
    </row>
    <row r="63" spans="2:14">
      <c r="B63" s="5">
        <v>49</v>
      </c>
      <c r="C63" s="6" t="s">
        <v>115</v>
      </c>
      <c r="D63" s="6" t="s">
        <v>20</v>
      </c>
      <c r="E63" s="6" t="s">
        <v>13</v>
      </c>
      <c r="F63" s="6" t="s">
        <v>13</v>
      </c>
      <c r="G63" s="7" t="s">
        <v>38</v>
      </c>
      <c r="H63" s="5" t="s">
        <v>57</v>
      </c>
      <c r="I63" s="6"/>
      <c r="J63" s="8"/>
      <c r="K63" s="6"/>
      <c r="L63" s="6"/>
      <c r="M63" s="6"/>
      <c r="N63" s="6"/>
    </row>
    <row r="64" spans="2:14">
      <c r="B64" s="5">
        <v>50</v>
      </c>
      <c r="C64" s="6" t="s">
        <v>133</v>
      </c>
      <c r="D64" s="6" t="s">
        <v>151</v>
      </c>
      <c r="E64" s="6" t="s">
        <v>161</v>
      </c>
      <c r="F64" s="6" t="s">
        <v>13</v>
      </c>
      <c r="G64" s="7" t="s">
        <v>154</v>
      </c>
      <c r="H64" s="5" t="s">
        <v>57</v>
      </c>
      <c r="I64" s="6"/>
      <c r="J64" s="8"/>
      <c r="K64" s="6"/>
      <c r="L64" s="6"/>
      <c r="M64" s="6"/>
      <c r="N64" s="6"/>
    </row>
    <row r="65" spans="2:14">
      <c r="B65" s="5">
        <v>51</v>
      </c>
      <c r="C65" s="6" t="s">
        <v>117</v>
      </c>
      <c r="D65" s="6" t="s">
        <v>20</v>
      </c>
      <c r="E65" s="6" t="s">
        <v>13</v>
      </c>
      <c r="F65" s="6" t="s">
        <v>13</v>
      </c>
      <c r="G65" s="7" t="s">
        <v>38</v>
      </c>
      <c r="H65" s="5" t="s">
        <v>57</v>
      </c>
      <c r="I65" s="6"/>
      <c r="J65" s="8"/>
      <c r="K65" s="6"/>
      <c r="L65" s="6"/>
      <c r="M65" s="6"/>
      <c r="N65" s="6"/>
    </row>
    <row r="66" spans="2:14">
      <c r="B66" s="5">
        <v>52</v>
      </c>
      <c r="C66" s="6" t="s">
        <v>134</v>
      </c>
      <c r="D66" s="6" t="s">
        <v>151</v>
      </c>
      <c r="E66" s="6" t="s">
        <v>161</v>
      </c>
      <c r="F66" s="6" t="s">
        <v>13</v>
      </c>
      <c r="G66" s="7" t="s">
        <v>154</v>
      </c>
      <c r="H66" s="5" t="s">
        <v>57</v>
      </c>
      <c r="I66" s="6"/>
      <c r="J66" s="8"/>
      <c r="K66" s="6"/>
      <c r="L66" s="6"/>
      <c r="M66" s="6"/>
      <c r="N66" s="6"/>
    </row>
    <row r="67" spans="2:14">
      <c r="B67" s="5">
        <v>53</v>
      </c>
      <c r="C67" s="6" t="s">
        <v>119</v>
      </c>
      <c r="D67" s="6" t="s">
        <v>20</v>
      </c>
      <c r="E67" s="6" t="s">
        <v>13</v>
      </c>
      <c r="F67" s="6" t="s">
        <v>13</v>
      </c>
      <c r="G67" s="7" t="s">
        <v>38</v>
      </c>
      <c r="H67" s="5" t="s">
        <v>57</v>
      </c>
      <c r="I67" s="6"/>
      <c r="J67" s="8"/>
      <c r="K67" s="6"/>
      <c r="L67" s="6"/>
      <c r="M67" s="6"/>
      <c r="N67" s="6"/>
    </row>
    <row r="68" spans="2:14">
      <c r="B68" s="5">
        <v>54</v>
      </c>
      <c r="C68" s="6" t="s">
        <v>135</v>
      </c>
      <c r="D68" s="6" t="s">
        <v>151</v>
      </c>
      <c r="E68" s="6" t="s">
        <v>161</v>
      </c>
      <c r="F68" s="6" t="s">
        <v>13</v>
      </c>
      <c r="G68" s="7" t="s">
        <v>154</v>
      </c>
      <c r="H68" s="5" t="s">
        <v>57</v>
      </c>
      <c r="I68" s="6"/>
      <c r="J68" s="8"/>
      <c r="K68" s="6"/>
      <c r="L68" s="6"/>
      <c r="M68" s="6"/>
      <c r="N68" s="6"/>
    </row>
    <row r="69" spans="2:14">
      <c r="B69" s="5">
        <v>55</v>
      </c>
      <c r="C69" s="6" t="s">
        <v>84</v>
      </c>
      <c r="D69" s="6" t="s">
        <v>20</v>
      </c>
      <c r="E69" s="6" t="s">
        <v>13</v>
      </c>
      <c r="F69" s="6" t="s">
        <v>13</v>
      </c>
      <c r="G69" s="7" t="s">
        <v>38</v>
      </c>
      <c r="H69" s="5" t="s">
        <v>57</v>
      </c>
      <c r="I69" s="6"/>
      <c r="J69" s="8"/>
      <c r="K69" s="6"/>
      <c r="L69" s="6"/>
      <c r="M69" s="6"/>
      <c r="N69" s="6"/>
    </row>
    <row r="70" spans="2:14">
      <c r="B70" s="5">
        <v>56</v>
      </c>
      <c r="C70" s="6" t="s">
        <v>136</v>
      </c>
      <c r="D70" s="6" t="s">
        <v>151</v>
      </c>
      <c r="E70" s="6" t="s">
        <v>161</v>
      </c>
      <c r="F70" s="6" t="s">
        <v>13</v>
      </c>
      <c r="G70" s="7" t="s">
        <v>154</v>
      </c>
      <c r="H70" s="5" t="s">
        <v>57</v>
      </c>
      <c r="I70" s="6"/>
      <c r="J70" s="8"/>
      <c r="K70" s="6"/>
      <c r="L70" s="6"/>
      <c r="M70" s="6"/>
      <c r="N70" s="6"/>
    </row>
    <row r="71" spans="2:14">
      <c r="B71" s="5">
        <v>57</v>
      </c>
      <c r="C71" s="6" t="s">
        <v>124</v>
      </c>
      <c r="D71" s="6" t="s">
        <v>20</v>
      </c>
      <c r="E71" s="6" t="s">
        <v>13</v>
      </c>
      <c r="F71" s="6" t="s">
        <v>13</v>
      </c>
      <c r="G71" s="7" t="s">
        <v>38</v>
      </c>
      <c r="H71" s="5" t="s">
        <v>57</v>
      </c>
      <c r="I71" s="6"/>
      <c r="J71" s="8"/>
      <c r="K71" s="6"/>
      <c r="L71" s="6"/>
      <c r="M71" s="6"/>
      <c r="N71" s="6"/>
    </row>
    <row r="72" spans="2:14">
      <c r="B72" s="5">
        <v>58</v>
      </c>
      <c r="C72" s="6" t="s">
        <v>137</v>
      </c>
      <c r="D72" s="6" t="s">
        <v>151</v>
      </c>
      <c r="E72" s="6" t="s">
        <v>161</v>
      </c>
      <c r="F72" s="6" t="s">
        <v>13</v>
      </c>
      <c r="G72" s="7" t="s">
        <v>154</v>
      </c>
      <c r="H72" s="5" t="s">
        <v>57</v>
      </c>
      <c r="I72" s="6"/>
      <c r="J72" s="8"/>
      <c r="K72" s="6"/>
      <c r="L72" s="6"/>
      <c r="M72" s="6"/>
      <c r="N72" s="6"/>
    </row>
    <row r="73" spans="2:14">
      <c r="B73" s="5">
        <v>59</v>
      </c>
      <c r="C73" s="6" t="s">
        <v>125</v>
      </c>
      <c r="D73" s="6" t="s">
        <v>20</v>
      </c>
      <c r="E73" s="6" t="s">
        <v>13</v>
      </c>
      <c r="F73" s="6" t="s">
        <v>13</v>
      </c>
      <c r="G73" s="7" t="s">
        <v>38</v>
      </c>
      <c r="H73" s="5" t="s">
        <v>57</v>
      </c>
      <c r="I73" s="6"/>
      <c r="J73" s="8"/>
      <c r="K73" s="6"/>
      <c r="L73" s="6"/>
      <c r="M73" s="6"/>
      <c r="N73" s="6"/>
    </row>
    <row r="74" spans="2:14">
      <c r="B74" s="5">
        <v>60</v>
      </c>
      <c r="C74" s="6" t="s">
        <v>138</v>
      </c>
      <c r="D74" s="6" t="s">
        <v>151</v>
      </c>
      <c r="E74" s="6" t="s">
        <v>161</v>
      </c>
      <c r="F74" s="6" t="s">
        <v>13</v>
      </c>
      <c r="G74" s="7" t="s">
        <v>154</v>
      </c>
      <c r="H74" s="5" t="s">
        <v>57</v>
      </c>
      <c r="I74" s="6"/>
      <c r="J74" s="8"/>
      <c r="K74" s="6"/>
      <c r="L74" s="6"/>
      <c r="M74" s="6"/>
      <c r="N74" s="6"/>
    </row>
    <row r="75" spans="2:14">
      <c r="B75" s="5">
        <v>61</v>
      </c>
      <c r="C75" s="6" t="s">
        <v>139</v>
      </c>
      <c r="D75" s="6" t="s">
        <v>20</v>
      </c>
      <c r="E75" s="6" t="s">
        <v>13</v>
      </c>
      <c r="F75" s="6" t="s">
        <v>13</v>
      </c>
      <c r="G75" s="7" t="s">
        <v>38</v>
      </c>
      <c r="H75" s="5" t="s">
        <v>57</v>
      </c>
      <c r="I75" s="6"/>
      <c r="J75" s="8"/>
      <c r="K75" s="6"/>
      <c r="L75" s="6"/>
      <c r="M75" s="6"/>
      <c r="N75" s="6"/>
    </row>
    <row r="76" spans="2:14">
      <c r="B76" s="5">
        <v>62</v>
      </c>
      <c r="C76" s="6" t="s">
        <v>140</v>
      </c>
      <c r="D76" s="6" t="s">
        <v>151</v>
      </c>
      <c r="E76" s="6" t="s">
        <v>161</v>
      </c>
      <c r="F76" s="6" t="s">
        <v>13</v>
      </c>
      <c r="G76" s="7" t="s">
        <v>154</v>
      </c>
      <c r="H76" s="5" t="s">
        <v>57</v>
      </c>
      <c r="I76" s="6"/>
      <c r="J76" s="8"/>
      <c r="K76" s="6"/>
      <c r="L76" s="6"/>
      <c r="M76" s="6"/>
      <c r="N76" s="6"/>
    </row>
    <row r="77" spans="2:14">
      <c r="B77" s="5">
        <v>63</v>
      </c>
      <c r="C77" s="6" t="s">
        <v>141</v>
      </c>
      <c r="D77" s="6" t="s">
        <v>20</v>
      </c>
      <c r="E77" s="6" t="s">
        <v>13</v>
      </c>
      <c r="F77" s="6" t="s">
        <v>13</v>
      </c>
      <c r="G77" s="7" t="s">
        <v>38</v>
      </c>
      <c r="H77" s="5" t="s">
        <v>57</v>
      </c>
      <c r="I77" s="6"/>
      <c r="J77" s="8"/>
      <c r="K77" s="6"/>
      <c r="L77" s="6"/>
      <c r="M77" s="6"/>
      <c r="N77" s="6"/>
    </row>
    <row r="78" spans="2:14">
      <c r="B78" s="5">
        <v>64</v>
      </c>
      <c r="C78" s="6" t="s">
        <v>142</v>
      </c>
      <c r="D78" s="6" t="s">
        <v>151</v>
      </c>
      <c r="E78" s="6" t="s">
        <v>161</v>
      </c>
      <c r="F78" s="6" t="s">
        <v>13</v>
      </c>
      <c r="G78" s="7" t="s">
        <v>154</v>
      </c>
      <c r="H78" s="5" t="s">
        <v>57</v>
      </c>
      <c r="I78" s="6"/>
      <c r="J78" s="8"/>
      <c r="K78" s="6"/>
      <c r="L78" s="6"/>
      <c r="M78" s="6"/>
      <c r="N78" s="6"/>
    </row>
    <row r="79" spans="2:14">
      <c r="B79" s="5">
        <v>65</v>
      </c>
      <c r="C79" s="6" t="s">
        <v>112</v>
      </c>
      <c r="D79" s="6" t="s">
        <v>47</v>
      </c>
      <c r="E79" s="6" t="s">
        <v>13</v>
      </c>
      <c r="F79" s="6" t="s">
        <v>13</v>
      </c>
      <c r="G79" s="7" t="s">
        <v>48</v>
      </c>
      <c r="H79" s="5" t="s">
        <v>57</v>
      </c>
      <c r="I79" s="6"/>
      <c r="J79" s="8"/>
      <c r="K79" s="6"/>
      <c r="L79" s="6"/>
      <c r="M79" s="6"/>
      <c r="N79" s="6"/>
    </row>
    <row r="80" spans="2:14">
      <c r="B80" s="5">
        <v>66</v>
      </c>
      <c r="C80" s="6" t="s">
        <v>123</v>
      </c>
      <c r="D80" s="6" t="s">
        <v>47</v>
      </c>
      <c r="E80" s="6" t="s">
        <v>13</v>
      </c>
      <c r="F80" s="6" t="s">
        <v>13</v>
      </c>
      <c r="G80" s="7" t="s">
        <v>48</v>
      </c>
      <c r="H80" s="5" t="s">
        <v>57</v>
      </c>
      <c r="I80" s="6"/>
      <c r="J80" s="8"/>
      <c r="K80" s="6"/>
      <c r="L80" s="6"/>
      <c r="M80" s="6"/>
      <c r="N80" s="6"/>
    </row>
    <row r="81" spans="2:14" ht="30">
      <c r="B81" s="5">
        <v>67</v>
      </c>
      <c r="C81" s="6" t="s">
        <v>109</v>
      </c>
      <c r="D81" s="6" t="s">
        <v>20</v>
      </c>
      <c r="E81" s="6" t="s">
        <v>13</v>
      </c>
      <c r="F81" s="6" t="s">
        <v>13</v>
      </c>
      <c r="G81" s="9" t="s">
        <v>152</v>
      </c>
      <c r="H81" s="5" t="s">
        <v>57</v>
      </c>
      <c r="I81" s="6"/>
      <c r="J81" s="8"/>
      <c r="K81" s="6"/>
      <c r="L81" s="6"/>
      <c r="M81" s="6"/>
      <c r="N81" s="6"/>
    </row>
    <row r="82" spans="2:14">
      <c r="B82" s="5">
        <v>68</v>
      </c>
      <c r="C82" s="6" t="s">
        <v>91</v>
      </c>
      <c r="D82" s="6" t="s">
        <v>93</v>
      </c>
      <c r="E82" s="6" t="s">
        <v>93</v>
      </c>
      <c r="F82" s="6" t="s">
        <v>93</v>
      </c>
      <c r="G82" s="9" t="s">
        <v>94</v>
      </c>
      <c r="H82" s="5" t="s">
        <v>57</v>
      </c>
      <c r="I82" s="6"/>
      <c r="J82" s="8"/>
      <c r="K82" s="6"/>
      <c r="L82" s="6"/>
      <c r="M82" s="6"/>
      <c r="N82" s="6"/>
    </row>
    <row r="85" spans="2:14" ht="19.8">
      <c r="B85" s="11" t="s">
        <v>162</v>
      </c>
    </row>
    <row r="87" spans="2:14">
      <c r="B87" s="15" t="s">
        <v>70</v>
      </c>
      <c r="C87" s="16"/>
      <c r="D87" s="3">
        <f>定義!B87</f>
        <v>0</v>
      </c>
    </row>
    <row r="88" spans="2:14">
      <c r="B88" s="17" t="s">
        <v>73</v>
      </c>
      <c r="C88" s="18"/>
      <c r="D88" s="3">
        <f>COUNT($B98:$B164)</f>
        <v>67</v>
      </c>
    </row>
    <row r="89" spans="2:14">
      <c r="B89" s="19" t="s">
        <v>72</v>
      </c>
      <c r="C89" s="20"/>
      <c r="D89" s="13">
        <f xml:space="preserve"> D92 / COUNT($B98:$B164)</f>
        <v>0</v>
      </c>
    </row>
    <row r="90" spans="2:14">
      <c r="B90" s="19" t="s">
        <v>57</v>
      </c>
      <c r="C90" s="20"/>
      <c r="D90" s="12">
        <f>COUNTIF($H$98:$H$164,"未着手")</f>
        <v>67</v>
      </c>
    </row>
    <row r="91" spans="2:14">
      <c r="B91" s="19" t="s">
        <v>58</v>
      </c>
      <c r="C91" s="20"/>
      <c r="D91" s="12">
        <f>COUNTIF($H$98:$H$164,"進行中")</f>
        <v>0</v>
      </c>
    </row>
    <row r="92" spans="2:14">
      <c r="B92" s="19" t="s">
        <v>71</v>
      </c>
      <c r="C92" s="20"/>
      <c r="D92" s="12">
        <f>COUNTIF($H$98:$H$164,"確認完了")</f>
        <v>0</v>
      </c>
    </row>
    <row r="93" spans="2:14">
      <c r="B93" s="19" t="s">
        <v>60</v>
      </c>
      <c r="C93" s="20"/>
      <c r="D93" s="12">
        <f>COUNTIF($H$98:$H$164,"確認不可")</f>
        <v>0</v>
      </c>
    </row>
    <row r="94" spans="2:14">
      <c r="B94" s="19" t="s">
        <v>61</v>
      </c>
      <c r="C94" s="20"/>
      <c r="D94" s="12">
        <f>COUNTIF($H$98:$H$164,"NG")</f>
        <v>0</v>
      </c>
    </row>
    <row r="96" spans="2:14">
      <c r="B96" s="14" t="s">
        <v>0</v>
      </c>
      <c r="C96" s="14" t="s">
        <v>1</v>
      </c>
      <c r="D96" s="14"/>
      <c r="E96" s="14"/>
      <c r="F96" s="14"/>
      <c r="G96" s="21"/>
      <c r="H96" s="22" t="s">
        <v>51</v>
      </c>
      <c r="I96" s="14" t="s">
        <v>5</v>
      </c>
      <c r="J96" s="24" t="s">
        <v>2</v>
      </c>
      <c r="K96" s="14" t="s">
        <v>6</v>
      </c>
      <c r="L96" s="14" t="s">
        <v>3</v>
      </c>
      <c r="M96" s="14" t="s">
        <v>4</v>
      </c>
      <c r="N96" s="14" t="s">
        <v>7</v>
      </c>
    </row>
    <row r="97" spans="2:14">
      <c r="B97" s="14"/>
      <c r="C97" s="1" t="s">
        <v>8</v>
      </c>
      <c r="D97" s="1" t="s">
        <v>9</v>
      </c>
      <c r="E97" s="1" t="s">
        <v>10</v>
      </c>
      <c r="F97" s="1" t="s">
        <v>11</v>
      </c>
      <c r="G97" s="2" t="s">
        <v>14</v>
      </c>
      <c r="H97" s="23"/>
      <c r="I97" s="14"/>
      <c r="J97" s="24"/>
      <c r="K97" s="14"/>
      <c r="L97" s="14"/>
      <c r="M97" s="14"/>
      <c r="N97" s="14"/>
    </row>
    <row r="98" spans="2:14">
      <c r="B98" s="5">
        <v>1</v>
      </c>
      <c r="C98" s="6" t="s">
        <v>76</v>
      </c>
      <c r="D98" s="6" t="s">
        <v>12</v>
      </c>
      <c r="E98" s="6" t="s">
        <v>93</v>
      </c>
      <c r="F98" s="6" t="s">
        <v>93</v>
      </c>
      <c r="G98" s="7" t="s">
        <v>95</v>
      </c>
      <c r="H98" s="5" t="s">
        <v>57</v>
      </c>
      <c r="I98" s="6"/>
      <c r="J98" s="8"/>
      <c r="K98" s="6"/>
      <c r="L98" s="6"/>
      <c r="M98" s="6"/>
      <c r="N98" s="6"/>
    </row>
    <row r="99" spans="2:14">
      <c r="B99" s="5">
        <v>2</v>
      </c>
      <c r="C99" s="6" t="s">
        <v>77</v>
      </c>
      <c r="D99" s="6" t="s">
        <v>18</v>
      </c>
      <c r="E99" s="6" t="s">
        <v>13</v>
      </c>
      <c r="F99" s="6" t="s">
        <v>13</v>
      </c>
      <c r="G99" s="7" t="s">
        <v>99</v>
      </c>
      <c r="H99" s="5" t="s">
        <v>57</v>
      </c>
      <c r="I99" s="6"/>
      <c r="J99" s="8"/>
      <c r="K99" s="6"/>
      <c r="L99" s="6"/>
      <c r="M99" s="6"/>
      <c r="N99" s="6"/>
    </row>
    <row r="100" spans="2:14">
      <c r="B100" s="5">
        <v>3</v>
      </c>
      <c r="C100" s="6" t="s">
        <v>78</v>
      </c>
      <c r="D100" s="6" t="s">
        <v>18</v>
      </c>
      <c r="E100" s="6" t="s">
        <v>13</v>
      </c>
      <c r="F100" s="6" t="s">
        <v>13</v>
      </c>
      <c r="G100" s="7" t="s">
        <v>98</v>
      </c>
      <c r="H100" s="5" t="s">
        <v>57</v>
      </c>
      <c r="I100" s="6"/>
      <c r="J100" s="8"/>
      <c r="K100" s="6"/>
      <c r="L100" s="6"/>
      <c r="M100" s="6"/>
      <c r="N100" s="6"/>
    </row>
    <row r="101" spans="2:14">
      <c r="B101" s="5">
        <v>4</v>
      </c>
      <c r="C101" s="6" t="s">
        <v>30</v>
      </c>
      <c r="D101" s="6" t="s">
        <v>20</v>
      </c>
      <c r="E101" s="6" t="s">
        <v>13</v>
      </c>
      <c r="F101" s="6" t="s">
        <v>13</v>
      </c>
      <c r="G101" s="7" t="s">
        <v>163</v>
      </c>
      <c r="H101" s="5" t="s">
        <v>57</v>
      </c>
      <c r="I101" s="6"/>
      <c r="J101" s="8"/>
      <c r="K101" s="6"/>
      <c r="L101" s="6"/>
      <c r="M101" s="6"/>
      <c r="N101" s="6"/>
    </row>
    <row r="102" spans="2:14">
      <c r="B102" s="5">
        <v>5</v>
      </c>
      <c r="C102" s="6" t="s">
        <v>37</v>
      </c>
      <c r="D102" s="6" t="s">
        <v>36</v>
      </c>
      <c r="E102" s="6" t="s">
        <v>13</v>
      </c>
      <c r="F102" s="6" t="s">
        <v>13</v>
      </c>
      <c r="G102" s="7" t="s">
        <v>164</v>
      </c>
      <c r="H102" s="5" t="s">
        <v>57</v>
      </c>
      <c r="I102" s="6"/>
      <c r="J102" s="8"/>
      <c r="K102" s="6"/>
      <c r="L102" s="6"/>
      <c r="M102" s="6"/>
      <c r="N102" s="6"/>
    </row>
    <row r="103" spans="2:14">
      <c r="B103" s="5">
        <v>6</v>
      </c>
      <c r="C103" s="6" t="s">
        <v>107</v>
      </c>
      <c r="D103" s="6" t="s">
        <v>143</v>
      </c>
      <c r="E103" s="6" t="s">
        <v>13</v>
      </c>
      <c r="F103" s="6" t="s">
        <v>13</v>
      </c>
      <c r="G103" s="7" t="s">
        <v>169</v>
      </c>
      <c r="H103" s="5" t="s">
        <v>57</v>
      </c>
      <c r="I103" s="6"/>
      <c r="J103" s="8"/>
      <c r="K103" s="6"/>
      <c r="L103" s="6"/>
      <c r="M103" s="6"/>
      <c r="N103" s="6"/>
    </row>
    <row r="104" spans="2:14">
      <c r="B104" s="5">
        <v>7</v>
      </c>
      <c r="C104" s="6" t="s">
        <v>108</v>
      </c>
      <c r="D104" s="6" t="s">
        <v>47</v>
      </c>
      <c r="E104" s="6" t="s">
        <v>13</v>
      </c>
      <c r="F104" s="6" t="s">
        <v>13</v>
      </c>
      <c r="G104" s="7" t="s">
        <v>165</v>
      </c>
      <c r="H104" s="5" t="s">
        <v>57</v>
      </c>
      <c r="I104" s="6"/>
      <c r="J104" s="8"/>
      <c r="K104" s="6"/>
      <c r="L104" s="6"/>
      <c r="M104" s="6"/>
      <c r="N104" s="6"/>
    </row>
    <row r="105" spans="2:14" ht="30">
      <c r="B105" s="5">
        <v>8</v>
      </c>
      <c r="C105" s="6" t="s">
        <v>110</v>
      </c>
      <c r="D105" s="6" t="s">
        <v>20</v>
      </c>
      <c r="E105" s="6" t="s">
        <v>13</v>
      </c>
      <c r="F105" s="6" t="s">
        <v>13</v>
      </c>
      <c r="G105" s="9" t="s">
        <v>168</v>
      </c>
      <c r="H105" s="5" t="s">
        <v>57</v>
      </c>
      <c r="I105" s="6"/>
      <c r="J105" s="8"/>
      <c r="K105" s="6"/>
      <c r="L105" s="6"/>
      <c r="M105" s="6"/>
      <c r="N105" s="6"/>
    </row>
    <row r="106" spans="2:14">
      <c r="B106" s="5">
        <v>9</v>
      </c>
      <c r="C106" s="6" t="s">
        <v>80</v>
      </c>
      <c r="D106" s="6" t="s">
        <v>20</v>
      </c>
      <c r="E106" s="6" t="s">
        <v>13</v>
      </c>
      <c r="F106" s="6" t="s">
        <v>13</v>
      </c>
      <c r="G106" s="7" t="s">
        <v>163</v>
      </c>
      <c r="H106" s="5" t="s">
        <v>57</v>
      </c>
      <c r="I106" s="6"/>
      <c r="J106" s="8"/>
      <c r="K106" s="6"/>
      <c r="L106" s="6"/>
      <c r="M106" s="6"/>
      <c r="N106" s="6"/>
    </row>
    <row r="107" spans="2:14">
      <c r="B107" s="5">
        <v>10</v>
      </c>
      <c r="C107" s="6" t="s">
        <v>82</v>
      </c>
      <c r="D107" s="6" t="s">
        <v>36</v>
      </c>
      <c r="E107" s="6" t="s">
        <v>13</v>
      </c>
      <c r="F107" s="6" t="s">
        <v>13</v>
      </c>
      <c r="G107" s="7" t="s">
        <v>164</v>
      </c>
      <c r="H107" s="5" t="s">
        <v>57</v>
      </c>
      <c r="I107" s="6"/>
      <c r="J107" s="8"/>
      <c r="K107" s="6"/>
      <c r="L107" s="6"/>
      <c r="M107" s="6"/>
      <c r="N107" s="6"/>
    </row>
    <row r="108" spans="2:14">
      <c r="B108" s="5">
        <v>11</v>
      </c>
      <c r="C108" s="6" t="s">
        <v>112</v>
      </c>
      <c r="D108" s="6" t="s">
        <v>47</v>
      </c>
      <c r="E108" s="6" t="s">
        <v>13</v>
      </c>
      <c r="F108" s="6" t="s">
        <v>13</v>
      </c>
      <c r="G108" s="7" t="s">
        <v>165</v>
      </c>
      <c r="H108" s="5" t="s">
        <v>57</v>
      </c>
      <c r="I108" s="6"/>
      <c r="J108" s="8"/>
      <c r="K108" s="6"/>
      <c r="L108" s="6"/>
      <c r="M108" s="6"/>
      <c r="N108" s="6"/>
    </row>
    <row r="109" spans="2:14" ht="30">
      <c r="B109" s="5">
        <v>12</v>
      </c>
      <c r="C109" s="6" t="s">
        <v>109</v>
      </c>
      <c r="D109" s="6" t="s">
        <v>20</v>
      </c>
      <c r="E109" s="6" t="s">
        <v>13</v>
      </c>
      <c r="F109" s="6" t="s">
        <v>13</v>
      </c>
      <c r="G109" s="9" t="s">
        <v>168</v>
      </c>
      <c r="H109" s="5" t="s">
        <v>57</v>
      </c>
      <c r="I109" s="6"/>
      <c r="J109" s="8"/>
      <c r="K109" s="6"/>
      <c r="L109" s="6"/>
      <c r="M109" s="6"/>
      <c r="N109" s="6"/>
    </row>
    <row r="110" spans="2:14">
      <c r="B110" s="5">
        <v>13</v>
      </c>
      <c r="C110" s="6" t="s">
        <v>113</v>
      </c>
      <c r="D110" s="6" t="s">
        <v>20</v>
      </c>
      <c r="E110" s="6" t="s">
        <v>13</v>
      </c>
      <c r="F110" s="6" t="s">
        <v>13</v>
      </c>
      <c r="G110" s="7" t="s">
        <v>163</v>
      </c>
      <c r="H110" s="5" t="s">
        <v>57</v>
      </c>
      <c r="I110" s="6"/>
      <c r="J110" s="8"/>
      <c r="K110" s="6"/>
      <c r="L110" s="6"/>
      <c r="M110" s="6"/>
      <c r="N110" s="6"/>
    </row>
    <row r="111" spans="2:14">
      <c r="B111" s="5">
        <v>14</v>
      </c>
      <c r="C111" s="6" t="s">
        <v>114</v>
      </c>
      <c r="D111" s="6" t="s">
        <v>36</v>
      </c>
      <c r="E111" s="6" t="s">
        <v>13</v>
      </c>
      <c r="F111" s="6" t="s">
        <v>13</v>
      </c>
      <c r="G111" s="7" t="s">
        <v>164</v>
      </c>
      <c r="H111" s="5" t="s">
        <v>57</v>
      </c>
      <c r="I111" s="6"/>
      <c r="J111" s="8"/>
      <c r="K111" s="6"/>
      <c r="L111" s="6"/>
      <c r="M111" s="6"/>
      <c r="N111" s="6"/>
    </row>
    <row r="112" spans="2:14">
      <c r="B112" s="5">
        <v>15</v>
      </c>
      <c r="C112" s="6" t="s">
        <v>115</v>
      </c>
      <c r="D112" s="6" t="s">
        <v>20</v>
      </c>
      <c r="E112" s="6" t="s">
        <v>13</v>
      </c>
      <c r="F112" s="6" t="s">
        <v>13</v>
      </c>
      <c r="G112" s="7" t="s">
        <v>163</v>
      </c>
      <c r="H112" s="5" t="s">
        <v>57</v>
      </c>
      <c r="I112" s="6"/>
      <c r="J112" s="8"/>
      <c r="K112" s="6"/>
      <c r="L112" s="6"/>
      <c r="M112" s="6"/>
      <c r="N112" s="6"/>
    </row>
    <row r="113" spans="2:14">
      <c r="B113" s="5">
        <v>16</v>
      </c>
      <c r="C113" s="6" t="s">
        <v>116</v>
      </c>
      <c r="D113" s="6" t="s">
        <v>36</v>
      </c>
      <c r="E113" s="6" t="s">
        <v>13</v>
      </c>
      <c r="F113" s="6" t="s">
        <v>13</v>
      </c>
      <c r="G113" s="7" t="s">
        <v>164</v>
      </c>
      <c r="H113" s="5" t="s">
        <v>57</v>
      </c>
      <c r="I113" s="6"/>
      <c r="J113" s="8"/>
      <c r="K113" s="6"/>
      <c r="L113" s="6"/>
      <c r="M113" s="6"/>
      <c r="N113" s="6"/>
    </row>
    <row r="114" spans="2:14">
      <c r="B114" s="5">
        <v>17</v>
      </c>
      <c r="C114" s="6" t="s">
        <v>117</v>
      </c>
      <c r="D114" s="6" t="s">
        <v>20</v>
      </c>
      <c r="E114" s="6" t="s">
        <v>13</v>
      </c>
      <c r="F114" s="6" t="s">
        <v>13</v>
      </c>
      <c r="G114" s="7" t="s">
        <v>163</v>
      </c>
      <c r="H114" s="5" t="s">
        <v>57</v>
      </c>
      <c r="I114" s="6"/>
      <c r="J114" s="8"/>
      <c r="K114" s="6"/>
      <c r="L114" s="6"/>
      <c r="M114" s="6"/>
      <c r="N114" s="6"/>
    </row>
    <row r="115" spans="2:14">
      <c r="B115" s="5">
        <v>18</v>
      </c>
      <c r="C115" s="6" t="s">
        <v>157</v>
      </c>
      <c r="D115" s="6" t="s">
        <v>36</v>
      </c>
      <c r="E115" s="6" t="s">
        <v>13</v>
      </c>
      <c r="F115" s="6" t="s">
        <v>13</v>
      </c>
      <c r="G115" s="7" t="s">
        <v>164</v>
      </c>
      <c r="H115" s="5" t="s">
        <v>57</v>
      </c>
      <c r="I115" s="6"/>
      <c r="J115" s="8"/>
      <c r="K115" s="6"/>
      <c r="L115" s="6"/>
      <c r="M115" s="6"/>
      <c r="N115" s="6"/>
    </row>
    <row r="116" spans="2:14">
      <c r="B116" s="5">
        <v>19</v>
      </c>
      <c r="C116" s="6" t="s">
        <v>118</v>
      </c>
      <c r="D116" s="6" t="s">
        <v>143</v>
      </c>
      <c r="E116" s="6" t="s">
        <v>13</v>
      </c>
      <c r="F116" s="6" t="s">
        <v>13</v>
      </c>
      <c r="G116" s="7" t="s">
        <v>158</v>
      </c>
      <c r="H116" s="5" t="s">
        <v>57</v>
      </c>
      <c r="I116" s="6"/>
      <c r="J116" s="8"/>
      <c r="K116" s="6"/>
      <c r="L116" s="6"/>
      <c r="M116" s="6"/>
      <c r="N116" s="6"/>
    </row>
    <row r="117" spans="2:14">
      <c r="B117" s="5">
        <v>20</v>
      </c>
      <c r="C117" s="6" t="s">
        <v>119</v>
      </c>
      <c r="D117" s="6" t="s">
        <v>20</v>
      </c>
      <c r="E117" s="6" t="s">
        <v>13</v>
      </c>
      <c r="F117" s="6" t="s">
        <v>13</v>
      </c>
      <c r="G117" s="7" t="s">
        <v>163</v>
      </c>
      <c r="H117" s="5" t="s">
        <v>57</v>
      </c>
      <c r="I117" s="6"/>
      <c r="J117" s="8"/>
      <c r="K117" s="6"/>
      <c r="L117" s="6"/>
      <c r="M117" s="6"/>
      <c r="N117" s="6"/>
    </row>
    <row r="118" spans="2:14">
      <c r="B118" s="5">
        <v>21</v>
      </c>
      <c r="C118" s="6" t="s">
        <v>120</v>
      </c>
      <c r="D118" s="6" t="s">
        <v>36</v>
      </c>
      <c r="E118" s="6" t="s">
        <v>13</v>
      </c>
      <c r="F118" s="6" t="s">
        <v>13</v>
      </c>
      <c r="G118" s="7" t="s">
        <v>164</v>
      </c>
      <c r="H118" s="5" t="s">
        <v>57</v>
      </c>
      <c r="I118" s="6"/>
      <c r="J118" s="8"/>
      <c r="K118" s="6"/>
      <c r="L118" s="6"/>
      <c r="M118" s="6"/>
      <c r="N118" s="6"/>
    </row>
    <row r="119" spans="2:14">
      <c r="B119" s="5">
        <v>22</v>
      </c>
      <c r="C119" s="6" t="s">
        <v>159</v>
      </c>
      <c r="D119" s="6" t="s">
        <v>143</v>
      </c>
      <c r="E119" s="6" t="s">
        <v>13</v>
      </c>
      <c r="F119" s="6" t="s">
        <v>13</v>
      </c>
      <c r="G119" s="7" t="s">
        <v>160</v>
      </c>
      <c r="H119" s="5" t="s">
        <v>57</v>
      </c>
      <c r="I119" s="6"/>
      <c r="J119" s="8"/>
      <c r="K119" s="6"/>
      <c r="L119" s="6"/>
      <c r="M119" s="6"/>
      <c r="N119" s="6"/>
    </row>
    <row r="120" spans="2:14">
      <c r="B120" s="5">
        <v>23</v>
      </c>
      <c r="C120" s="6" t="s">
        <v>84</v>
      </c>
      <c r="D120" s="6" t="s">
        <v>20</v>
      </c>
      <c r="E120" s="6" t="s">
        <v>13</v>
      </c>
      <c r="F120" s="6" t="s">
        <v>13</v>
      </c>
      <c r="G120" s="7" t="s">
        <v>163</v>
      </c>
      <c r="H120" s="5" t="s">
        <v>57</v>
      </c>
      <c r="I120" s="6"/>
      <c r="J120" s="8"/>
      <c r="K120" s="6"/>
      <c r="L120" s="6"/>
      <c r="M120" s="6"/>
      <c r="N120" s="6"/>
    </row>
    <row r="121" spans="2:14">
      <c r="B121" s="5">
        <v>24</v>
      </c>
      <c r="C121" s="6" t="s">
        <v>85</v>
      </c>
      <c r="D121" s="6" t="s">
        <v>36</v>
      </c>
      <c r="E121" s="6" t="s">
        <v>13</v>
      </c>
      <c r="F121" s="6" t="s">
        <v>13</v>
      </c>
      <c r="G121" s="7" t="s">
        <v>164</v>
      </c>
      <c r="H121" s="5" t="s">
        <v>57</v>
      </c>
      <c r="I121" s="6"/>
      <c r="J121" s="8"/>
      <c r="K121" s="6"/>
      <c r="L121" s="6"/>
      <c r="M121" s="6"/>
      <c r="N121" s="6"/>
    </row>
    <row r="122" spans="2:14">
      <c r="B122" s="5">
        <v>25</v>
      </c>
      <c r="C122" s="6" t="s">
        <v>86</v>
      </c>
      <c r="D122" s="6" t="s">
        <v>43</v>
      </c>
      <c r="E122" s="6" t="s">
        <v>44</v>
      </c>
      <c r="F122" s="6"/>
      <c r="G122" s="7" t="s">
        <v>45</v>
      </c>
      <c r="H122" s="5" t="s">
        <v>57</v>
      </c>
      <c r="I122" s="6"/>
      <c r="J122" s="8"/>
      <c r="K122" s="6"/>
      <c r="L122" s="6"/>
      <c r="M122" s="6"/>
      <c r="N122" s="6"/>
    </row>
    <row r="123" spans="2:14">
      <c r="B123" s="5">
        <v>26</v>
      </c>
      <c r="C123" s="6" t="s">
        <v>121</v>
      </c>
      <c r="D123" s="6" t="s">
        <v>20</v>
      </c>
      <c r="E123" s="6" t="s">
        <v>13</v>
      </c>
      <c r="F123" s="6" t="s">
        <v>13</v>
      </c>
      <c r="G123" s="7" t="s">
        <v>163</v>
      </c>
      <c r="H123" s="5" t="s">
        <v>57</v>
      </c>
      <c r="I123" s="6"/>
      <c r="J123" s="8"/>
      <c r="K123" s="6"/>
      <c r="L123" s="6"/>
      <c r="M123" s="6"/>
      <c r="N123" s="6"/>
    </row>
    <row r="124" spans="2:14">
      <c r="B124" s="5">
        <v>27</v>
      </c>
      <c r="C124" s="6" t="s">
        <v>122</v>
      </c>
      <c r="D124" s="6" t="s">
        <v>36</v>
      </c>
      <c r="E124" s="6" t="s">
        <v>13</v>
      </c>
      <c r="F124" s="6" t="s">
        <v>13</v>
      </c>
      <c r="G124" s="7" t="s">
        <v>164</v>
      </c>
      <c r="H124" s="5" t="s">
        <v>57</v>
      </c>
      <c r="I124" s="6"/>
      <c r="J124" s="8"/>
      <c r="K124" s="6"/>
      <c r="L124" s="6"/>
      <c r="M124" s="6"/>
      <c r="N124" s="6"/>
    </row>
    <row r="125" spans="2:14">
      <c r="B125" s="5">
        <v>28</v>
      </c>
      <c r="C125" s="6" t="s">
        <v>145</v>
      </c>
      <c r="D125" s="6" t="s">
        <v>43</v>
      </c>
      <c r="E125" s="6" t="s">
        <v>146</v>
      </c>
      <c r="F125" s="6"/>
      <c r="G125" s="7" t="s">
        <v>45</v>
      </c>
      <c r="H125" s="5" t="s">
        <v>57</v>
      </c>
      <c r="I125" s="6"/>
      <c r="J125" s="8"/>
      <c r="K125" s="6"/>
      <c r="L125" s="6"/>
      <c r="M125" s="6"/>
      <c r="N125" s="6"/>
    </row>
    <row r="126" spans="2:14">
      <c r="B126" s="5">
        <v>29</v>
      </c>
      <c r="C126" s="6" t="s">
        <v>112</v>
      </c>
      <c r="D126" s="6" t="s">
        <v>47</v>
      </c>
      <c r="E126" s="6" t="s">
        <v>13</v>
      </c>
      <c r="F126" s="6" t="s">
        <v>13</v>
      </c>
      <c r="G126" s="7" t="s">
        <v>165</v>
      </c>
      <c r="H126" s="5" t="s">
        <v>57</v>
      </c>
      <c r="I126" s="6"/>
      <c r="J126" s="8"/>
      <c r="K126" s="6"/>
      <c r="L126" s="6"/>
      <c r="M126" s="6"/>
      <c r="N126" s="6"/>
    </row>
    <row r="127" spans="2:14">
      <c r="B127" s="5">
        <v>30</v>
      </c>
      <c r="C127" s="6" t="s">
        <v>123</v>
      </c>
      <c r="D127" s="6" t="s">
        <v>47</v>
      </c>
      <c r="E127" s="6" t="s">
        <v>13</v>
      </c>
      <c r="F127" s="6" t="s">
        <v>13</v>
      </c>
      <c r="G127" s="7" t="s">
        <v>165</v>
      </c>
      <c r="H127" s="5" t="s">
        <v>57</v>
      </c>
      <c r="I127" s="6"/>
      <c r="J127" s="8"/>
      <c r="K127" s="6"/>
      <c r="L127" s="6"/>
      <c r="M127" s="6"/>
      <c r="N127" s="6"/>
    </row>
    <row r="128" spans="2:14" ht="30">
      <c r="B128" s="5">
        <v>31</v>
      </c>
      <c r="C128" s="6" t="s">
        <v>109</v>
      </c>
      <c r="D128" s="6" t="s">
        <v>20</v>
      </c>
      <c r="E128" s="6" t="s">
        <v>13</v>
      </c>
      <c r="F128" s="6" t="s">
        <v>13</v>
      </c>
      <c r="G128" s="9" t="s">
        <v>168</v>
      </c>
      <c r="H128" s="5" t="s">
        <v>57</v>
      </c>
      <c r="I128" s="6"/>
      <c r="J128" s="8"/>
      <c r="K128" s="6"/>
      <c r="L128" s="6"/>
      <c r="M128" s="6"/>
      <c r="N128" s="6"/>
    </row>
    <row r="129" spans="2:14">
      <c r="B129" s="5">
        <v>32</v>
      </c>
      <c r="C129" s="6" t="s">
        <v>124</v>
      </c>
      <c r="D129" s="6" t="s">
        <v>20</v>
      </c>
      <c r="E129" s="6" t="s">
        <v>13</v>
      </c>
      <c r="F129" s="6" t="s">
        <v>13</v>
      </c>
      <c r="G129" s="7" t="s">
        <v>163</v>
      </c>
      <c r="H129" s="5" t="s">
        <v>57</v>
      </c>
      <c r="I129" s="6"/>
      <c r="J129" s="8"/>
      <c r="K129" s="6"/>
      <c r="L129" s="6"/>
      <c r="M129" s="6"/>
      <c r="N129" s="6"/>
    </row>
    <row r="130" spans="2:14">
      <c r="B130" s="5">
        <v>33</v>
      </c>
      <c r="C130" s="6" t="s">
        <v>155</v>
      </c>
      <c r="D130" s="6" t="s">
        <v>36</v>
      </c>
      <c r="E130" s="6" t="s">
        <v>13</v>
      </c>
      <c r="F130" s="6" t="s">
        <v>13</v>
      </c>
      <c r="G130" s="7" t="s">
        <v>164</v>
      </c>
      <c r="H130" s="5" t="s">
        <v>57</v>
      </c>
      <c r="I130" s="6"/>
      <c r="J130" s="8"/>
      <c r="K130" s="6"/>
      <c r="L130" s="6"/>
      <c r="M130" s="6"/>
      <c r="N130" s="6"/>
    </row>
    <row r="131" spans="2:14">
      <c r="B131" s="5">
        <v>34</v>
      </c>
      <c r="C131" s="6" t="s">
        <v>147</v>
      </c>
      <c r="D131" s="6" t="s">
        <v>143</v>
      </c>
      <c r="E131" s="6" t="s">
        <v>13</v>
      </c>
      <c r="F131" s="6" t="s">
        <v>13</v>
      </c>
      <c r="G131" s="7" t="s">
        <v>156</v>
      </c>
      <c r="H131" s="5" t="s">
        <v>57</v>
      </c>
      <c r="I131" s="6"/>
      <c r="J131" s="8"/>
      <c r="K131" s="6"/>
      <c r="L131" s="6"/>
      <c r="M131" s="6"/>
      <c r="N131" s="6"/>
    </row>
    <row r="132" spans="2:14">
      <c r="B132" s="5">
        <v>35</v>
      </c>
      <c r="C132" s="6" t="s">
        <v>125</v>
      </c>
      <c r="D132" s="6" t="s">
        <v>20</v>
      </c>
      <c r="E132" s="6" t="s">
        <v>13</v>
      </c>
      <c r="F132" s="6" t="s">
        <v>13</v>
      </c>
      <c r="G132" s="7" t="s">
        <v>163</v>
      </c>
      <c r="H132" s="5" t="s">
        <v>57</v>
      </c>
      <c r="I132" s="6"/>
      <c r="J132" s="8"/>
      <c r="K132" s="6"/>
      <c r="L132" s="6"/>
      <c r="M132" s="6"/>
      <c r="N132" s="6"/>
    </row>
    <row r="133" spans="2:14">
      <c r="B133" s="5">
        <v>36</v>
      </c>
      <c r="C133" s="6" t="s">
        <v>126</v>
      </c>
      <c r="D133" s="6" t="s">
        <v>36</v>
      </c>
      <c r="E133" s="6" t="s">
        <v>13</v>
      </c>
      <c r="F133" s="6" t="s">
        <v>13</v>
      </c>
      <c r="G133" s="7" t="s">
        <v>164</v>
      </c>
      <c r="H133" s="5" t="s">
        <v>57</v>
      </c>
      <c r="I133" s="6"/>
      <c r="J133" s="8"/>
      <c r="K133" s="6"/>
      <c r="L133" s="6"/>
      <c r="M133" s="6"/>
      <c r="N133" s="6"/>
    </row>
    <row r="134" spans="2:14">
      <c r="B134" s="5">
        <v>37</v>
      </c>
      <c r="C134" s="6" t="s">
        <v>127</v>
      </c>
      <c r="D134" s="6" t="s">
        <v>20</v>
      </c>
      <c r="E134" s="6" t="s">
        <v>13</v>
      </c>
      <c r="F134" s="6" t="s">
        <v>13</v>
      </c>
      <c r="G134" s="7" t="s">
        <v>163</v>
      </c>
      <c r="H134" s="5" t="s">
        <v>57</v>
      </c>
      <c r="I134" s="6"/>
      <c r="J134" s="8"/>
      <c r="K134" s="6"/>
      <c r="L134" s="6"/>
      <c r="M134" s="6"/>
      <c r="N134" s="6"/>
    </row>
    <row r="135" spans="2:14">
      <c r="B135" s="5">
        <v>38</v>
      </c>
      <c r="C135" s="6" t="s">
        <v>128</v>
      </c>
      <c r="D135" s="6" t="s">
        <v>148</v>
      </c>
      <c r="E135" s="6" t="s">
        <v>13</v>
      </c>
      <c r="F135" s="6" t="s">
        <v>13</v>
      </c>
      <c r="G135" s="7" t="s">
        <v>166</v>
      </c>
      <c r="H135" s="5" t="s">
        <v>57</v>
      </c>
      <c r="I135" s="6"/>
      <c r="J135" s="8"/>
      <c r="K135" s="6"/>
      <c r="L135" s="6"/>
      <c r="M135" s="6"/>
      <c r="N135" s="6"/>
    </row>
    <row r="136" spans="2:14" ht="30">
      <c r="B136" s="5">
        <v>39</v>
      </c>
      <c r="C136" s="6" t="s">
        <v>111</v>
      </c>
      <c r="D136" s="6" t="s">
        <v>20</v>
      </c>
      <c r="E136" s="6" t="s">
        <v>13</v>
      </c>
      <c r="F136" s="6" t="s">
        <v>13</v>
      </c>
      <c r="G136" s="9" t="s">
        <v>170</v>
      </c>
      <c r="H136" s="5" t="s">
        <v>57</v>
      </c>
      <c r="I136" s="6"/>
      <c r="J136" s="8"/>
      <c r="K136" s="6"/>
      <c r="L136" s="6"/>
      <c r="M136" s="6"/>
      <c r="N136" s="6"/>
    </row>
    <row r="137" spans="2:14">
      <c r="B137" s="5">
        <v>40</v>
      </c>
      <c r="C137" s="6" t="s">
        <v>112</v>
      </c>
      <c r="D137" s="6" t="s">
        <v>47</v>
      </c>
      <c r="E137" s="6" t="s">
        <v>13</v>
      </c>
      <c r="F137" s="6" t="s">
        <v>13</v>
      </c>
      <c r="G137" s="7" t="s">
        <v>165</v>
      </c>
      <c r="H137" s="5" t="s">
        <v>57</v>
      </c>
      <c r="I137" s="6"/>
      <c r="J137" s="8"/>
      <c r="K137" s="6"/>
      <c r="L137" s="6"/>
      <c r="M137" s="6"/>
      <c r="N137" s="6"/>
    </row>
    <row r="138" spans="2:14">
      <c r="B138" s="5">
        <v>41</v>
      </c>
      <c r="C138" s="6" t="s">
        <v>123</v>
      </c>
      <c r="D138" s="6" t="s">
        <v>47</v>
      </c>
      <c r="E138" s="6" t="s">
        <v>13</v>
      </c>
      <c r="F138" s="6" t="s">
        <v>13</v>
      </c>
      <c r="G138" s="7" t="s">
        <v>165</v>
      </c>
      <c r="H138" s="5" t="s">
        <v>57</v>
      </c>
      <c r="I138" s="6"/>
      <c r="J138" s="8"/>
      <c r="K138" s="6"/>
      <c r="L138" s="6"/>
      <c r="M138" s="6"/>
      <c r="N138" s="6"/>
    </row>
    <row r="139" spans="2:14" ht="30">
      <c r="B139" s="5">
        <v>42</v>
      </c>
      <c r="C139" s="6" t="s">
        <v>109</v>
      </c>
      <c r="D139" s="6" t="s">
        <v>20</v>
      </c>
      <c r="E139" s="6" t="s">
        <v>13</v>
      </c>
      <c r="F139" s="6" t="s">
        <v>13</v>
      </c>
      <c r="G139" s="9" t="s">
        <v>168</v>
      </c>
      <c r="H139" s="5" t="s">
        <v>57</v>
      </c>
      <c r="I139" s="6"/>
      <c r="J139" s="8"/>
      <c r="K139" s="6"/>
      <c r="L139" s="6"/>
      <c r="M139" s="6"/>
      <c r="N139" s="6"/>
    </row>
    <row r="140" spans="2:14" ht="45">
      <c r="B140" s="5">
        <v>43</v>
      </c>
      <c r="C140" s="6" t="s">
        <v>129</v>
      </c>
      <c r="D140" s="6" t="s">
        <v>20</v>
      </c>
      <c r="E140" s="6" t="s">
        <v>13</v>
      </c>
      <c r="F140" s="6" t="s">
        <v>13</v>
      </c>
      <c r="G140" s="9" t="s">
        <v>171</v>
      </c>
      <c r="H140" s="5" t="s">
        <v>57</v>
      </c>
      <c r="I140" s="6"/>
      <c r="J140" s="8"/>
      <c r="K140" s="6"/>
      <c r="L140" s="6"/>
      <c r="M140" s="6"/>
      <c r="N140" s="6"/>
    </row>
    <row r="141" spans="2:14">
      <c r="B141" s="5">
        <v>44</v>
      </c>
      <c r="C141" s="6" t="s">
        <v>130</v>
      </c>
      <c r="D141" s="6" t="s">
        <v>20</v>
      </c>
      <c r="E141" s="6" t="s">
        <v>13</v>
      </c>
      <c r="F141" s="6" t="s">
        <v>13</v>
      </c>
      <c r="G141" s="7" t="s">
        <v>163</v>
      </c>
      <c r="H141" s="5" t="s">
        <v>57</v>
      </c>
      <c r="I141" s="6"/>
      <c r="J141" s="8"/>
      <c r="K141" s="6"/>
      <c r="L141" s="6"/>
      <c r="M141" s="6"/>
      <c r="N141" s="6"/>
    </row>
    <row r="142" spans="2:14">
      <c r="B142" s="5">
        <v>45</v>
      </c>
      <c r="C142" s="6" t="s">
        <v>131</v>
      </c>
      <c r="D142" s="6" t="s">
        <v>151</v>
      </c>
      <c r="E142" s="6" t="s">
        <v>161</v>
      </c>
      <c r="F142" s="6" t="s">
        <v>13</v>
      </c>
      <c r="G142" s="7" t="s">
        <v>167</v>
      </c>
      <c r="H142" s="5" t="s">
        <v>57</v>
      </c>
      <c r="I142" s="6"/>
      <c r="J142" s="8"/>
      <c r="K142" s="6"/>
      <c r="L142" s="6"/>
      <c r="M142" s="6"/>
      <c r="N142" s="6"/>
    </row>
    <row r="143" spans="2:14">
      <c r="B143" s="5">
        <v>46</v>
      </c>
      <c r="C143" s="6" t="s">
        <v>80</v>
      </c>
      <c r="D143" s="6" t="s">
        <v>20</v>
      </c>
      <c r="E143" s="6" t="s">
        <v>13</v>
      </c>
      <c r="F143" s="6" t="s">
        <v>13</v>
      </c>
      <c r="G143" s="7" t="s">
        <v>163</v>
      </c>
      <c r="H143" s="5" t="s">
        <v>57</v>
      </c>
      <c r="I143" s="6"/>
      <c r="J143" s="8"/>
      <c r="K143" s="6"/>
      <c r="L143" s="6"/>
      <c r="M143" s="6"/>
      <c r="N143" s="6"/>
    </row>
    <row r="144" spans="2:14">
      <c r="B144" s="5">
        <v>47</v>
      </c>
      <c r="C144" s="6" t="s">
        <v>132</v>
      </c>
      <c r="D144" s="6" t="s">
        <v>151</v>
      </c>
      <c r="E144" s="6" t="s">
        <v>161</v>
      </c>
      <c r="F144" s="6" t="s">
        <v>13</v>
      </c>
      <c r="G144" s="7" t="s">
        <v>167</v>
      </c>
      <c r="H144" s="5" t="s">
        <v>57</v>
      </c>
      <c r="I144" s="6"/>
      <c r="J144" s="8"/>
      <c r="K144" s="6"/>
      <c r="L144" s="6"/>
      <c r="M144" s="6"/>
      <c r="N144" s="6"/>
    </row>
    <row r="145" spans="2:14">
      <c r="B145" s="5">
        <v>48</v>
      </c>
      <c r="C145" s="6" t="s">
        <v>115</v>
      </c>
      <c r="D145" s="6" t="s">
        <v>20</v>
      </c>
      <c r="E145" s="6" t="s">
        <v>13</v>
      </c>
      <c r="F145" s="6" t="s">
        <v>13</v>
      </c>
      <c r="G145" s="7" t="s">
        <v>163</v>
      </c>
      <c r="H145" s="5" t="s">
        <v>57</v>
      </c>
      <c r="I145" s="6"/>
      <c r="J145" s="8"/>
      <c r="K145" s="6"/>
      <c r="L145" s="6"/>
      <c r="M145" s="6"/>
      <c r="N145" s="6"/>
    </row>
    <row r="146" spans="2:14">
      <c r="B146" s="5">
        <v>49</v>
      </c>
      <c r="C146" s="6" t="s">
        <v>133</v>
      </c>
      <c r="D146" s="6" t="s">
        <v>151</v>
      </c>
      <c r="E146" s="6" t="s">
        <v>161</v>
      </c>
      <c r="F146" s="6" t="s">
        <v>13</v>
      </c>
      <c r="G146" s="7" t="s">
        <v>167</v>
      </c>
      <c r="H146" s="5" t="s">
        <v>57</v>
      </c>
      <c r="I146" s="6"/>
      <c r="J146" s="8"/>
      <c r="K146" s="6"/>
      <c r="L146" s="6"/>
      <c r="M146" s="6"/>
      <c r="N146" s="6"/>
    </row>
    <row r="147" spans="2:14">
      <c r="B147" s="5">
        <v>50</v>
      </c>
      <c r="C147" s="6" t="s">
        <v>117</v>
      </c>
      <c r="D147" s="6" t="s">
        <v>20</v>
      </c>
      <c r="E147" s="6" t="s">
        <v>13</v>
      </c>
      <c r="F147" s="6" t="s">
        <v>13</v>
      </c>
      <c r="G147" s="7" t="s">
        <v>163</v>
      </c>
      <c r="H147" s="5" t="s">
        <v>57</v>
      </c>
      <c r="I147" s="6"/>
      <c r="J147" s="8"/>
      <c r="K147" s="6"/>
      <c r="L147" s="6"/>
      <c r="M147" s="6"/>
      <c r="N147" s="6"/>
    </row>
    <row r="148" spans="2:14">
      <c r="B148" s="5">
        <v>51</v>
      </c>
      <c r="C148" s="6" t="s">
        <v>134</v>
      </c>
      <c r="D148" s="6" t="s">
        <v>151</v>
      </c>
      <c r="E148" s="6" t="s">
        <v>161</v>
      </c>
      <c r="F148" s="6" t="s">
        <v>13</v>
      </c>
      <c r="G148" s="7" t="s">
        <v>167</v>
      </c>
      <c r="H148" s="5" t="s">
        <v>57</v>
      </c>
      <c r="I148" s="6"/>
      <c r="J148" s="8"/>
      <c r="K148" s="6"/>
      <c r="L148" s="6"/>
      <c r="M148" s="6"/>
      <c r="N148" s="6"/>
    </row>
    <row r="149" spans="2:14">
      <c r="B149" s="5">
        <v>52</v>
      </c>
      <c r="C149" s="6" t="s">
        <v>119</v>
      </c>
      <c r="D149" s="6" t="s">
        <v>20</v>
      </c>
      <c r="E149" s="6" t="s">
        <v>13</v>
      </c>
      <c r="F149" s="6" t="s">
        <v>13</v>
      </c>
      <c r="G149" s="7" t="s">
        <v>163</v>
      </c>
      <c r="H149" s="5" t="s">
        <v>57</v>
      </c>
      <c r="I149" s="6"/>
      <c r="J149" s="8"/>
      <c r="K149" s="6"/>
      <c r="L149" s="6"/>
      <c r="M149" s="6"/>
      <c r="N149" s="6"/>
    </row>
    <row r="150" spans="2:14">
      <c r="B150" s="5">
        <v>53</v>
      </c>
      <c r="C150" s="6" t="s">
        <v>135</v>
      </c>
      <c r="D150" s="6" t="s">
        <v>151</v>
      </c>
      <c r="E150" s="6" t="s">
        <v>161</v>
      </c>
      <c r="F150" s="6" t="s">
        <v>13</v>
      </c>
      <c r="G150" s="7" t="s">
        <v>167</v>
      </c>
      <c r="H150" s="5" t="s">
        <v>57</v>
      </c>
      <c r="I150" s="6"/>
      <c r="J150" s="8"/>
      <c r="K150" s="6"/>
      <c r="L150" s="6"/>
      <c r="M150" s="6"/>
      <c r="N150" s="6"/>
    </row>
    <row r="151" spans="2:14">
      <c r="B151" s="5">
        <v>54</v>
      </c>
      <c r="C151" s="6" t="s">
        <v>84</v>
      </c>
      <c r="D151" s="6" t="s">
        <v>20</v>
      </c>
      <c r="E151" s="6" t="s">
        <v>13</v>
      </c>
      <c r="F151" s="6" t="s">
        <v>13</v>
      </c>
      <c r="G151" s="7" t="s">
        <v>163</v>
      </c>
      <c r="H151" s="5" t="s">
        <v>57</v>
      </c>
      <c r="I151" s="6"/>
      <c r="J151" s="8"/>
      <c r="K151" s="6"/>
      <c r="L151" s="6"/>
      <c r="M151" s="6"/>
      <c r="N151" s="6"/>
    </row>
    <row r="152" spans="2:14">
      <c r="B152" s="5">
        <v>55</v>
      </c>
      <c r="C152" s="6" t="s">
        <v>136</v>
      </c>
      <c r="D152" s="6" t="s">
        <v>151</v>
      </c>
      <c r="E152" s="6" t="s">
        <v>161</v>
      </c>
      <c r="F152" s="6" t="s">
        <v>13</v>
      </c>
      <c r="G152" s="7" t="s">
        <v>167</v>
      </c>
      <c r="H152" s="5" t="s">
        <v>57</v>
      </c>
      <c r="I152" s="6"/>
      <c r="J152" s="8"/>
      <c r="K152" s="6"/>
      <c r="L152" s="6"/>
      <c r="M152" s="6"/>
      <c r="N152" s="6"/>
    </row>
    <row r="153" spans="2:14">
      <c r="B153" s="5">
        <v>56</v>
      </c>
      <c r="C153" s="6" t="s">
        <v>124</v>
      </c>
      <c r="D153" s="6" t="s">
        <v>20</v>
      </c>
      <c r="E153" s="6" t="s">
        <v>13</v>
      </c>
      <c r="F153" s="6" t="s">
        <v>13</v>
      </c>
      <c r="G153" s="7" t="s">
        <v>163</v>
      </c>
      <c r="H153" s="5" t="s">
        <v>57</v>
      </c>
      <c r="I153" s="6"/>
      <c r="J153" s="8"/>
      <c r="K153" s="6"/>
      <c r="L153" s="6"/>
      <c r="M153" s="6"/>
      <c r="N153" s="6"/>
    </row>
    <row r="154" spans="2:14">
      <c r="B154" s="5">
        <v>57</v>
      </c>
      <c r="C154" s="6" t="s">
        <v>137</v>
      </c>
      <c r="D154" s="6" t="s">
        <v>151</v>
      </c>
      <c r="E154" s="6" t="s">
        <v>161</v>
      </c>
      <c r="F154" s="6" t="s">
        <v>13</v>
      </c>
      <c r="G154" s="7" t="s">
        <v>167</v>
      </c>
      <c r="H154" s="5" t="s">
        <v>57</v>
      </c>
      <c r="I154" s="6"/>
      <c r="J154" s="8"/>
      <c r="K154" s="6"/>
      <c r="L154" s="6"/>
      <c r="M154" s="6"/>
      <c r="N154" s="6"/>
    </row>
    <row r="155" spans="2:14">
      <c r="B155" s="5">
        <v>58</v>
      </c>
      <c r="C155" s="6" t="s">
        <v>125</v>
      </c>
      <c r="D155" s="6" t="s">
        <v>20</v>
      </c>
      <c r="E155" s="6" t="s">
        <v>13</v>
      </c>
      <c r="F155" s="6" t="s">
        <v>13</v>
      </c>
      <c r="G155" s="7" t="s">
        <v>163</v>
      </c>
      <c r="H155" s="5" t="s">
        <v>57</v>
      </c>
      <c r="I155" s="6"/>
      <c r="J155" s="8"/>
      <c r="K155" s="6"/>
      <c r="L155" s="6"/>
      <c r="M155" s="6"/>
      <c r="N155" s="6"/>
    </row>
    <row r="156" spans="2:14">
      <c r="B156" s="5">
        <v>59</v>
      </c>
      <c r="C156" s="6" t="s">
        <v>138</v>
      </c>
      <c r="D156" s="6" t="s">
        <v>151</v>
      </c>
      <c r="E156" s="6" t="s">
        <v>161</v>
      </c>
      <c r="F156" s="6" t="s">
        <v>13</v>
      </c>
      <c r="G156" s="7" t="s">
        <v>167</v>
      </c>
      <c r="H156" s="5" t="s">
        <v>57</v>
      </c>
      <c r="I156" s="6"/>
      <c r="J156" s="8"/>
      <c r="K156" s="6"/>
      <c r="L156" s="6"/>
      <c r="M156" s="6"/>
      <c r="N156" s="6"/>
    </row>
    <row r="157" spans="2:14">
      <c r="B157" s="5">
        <v>60</v>
      </c>
      <c r="C157" s="6" t="s">
        <v>139</v>
      </c>
      <c r="D157" s="6" t="s">
        <v>20</v>
      </c>
      <c r="E157" s="6" t="s">
        <v>13</v>
      </c>
      <c r="F157" s="6" t="s">
        <v>13</v>
      </c>
      <c r="G157" s="7" t="s">
        <v>163</v>
      </c>
      <c r="H157" s="5" t="s">
        <v>57</v>
      </c>
      <c r="I157" s="6"/>
      <c r="J157" s="8"/>
      <c r="K157" s="6"/>
      <c r="L157" s="6"/>
      <c r="M157" s="6"/>
      <c r="N157" s="6"/>
    </row>
    <row r="158" spans="2:14">
      <c r="B158" s="5">
        <v>61</v>
      </c>
      <c r="C158" s="6" t="s">
        <v>140</v>
      </c>
      <c r="D158" s="6" t="s">
        <v>151</v>
      </c>
      <c r="E158" s="6" t="s">
        <v>161</v>
      </c>
      <c r="F158" s="6" t="s">
        <v>13</v>
      </c>
      <c r="G158" s="7" t="s">
        <v>167</v>
      </c>
      <c r="H158" s="5" t="s">
        <v>57</v>
      </c>
      <c r="I158" s="6"/>
      <c r="J158" s="8"/>
      <c r="K158" s="6"/>
      <c r="L158" s="6"/>
      <c r="M158" s="6"/>
      <c r="N158" s="6"/>
    </row>
    <row r="159" spans="2:14">
      <c r="B159" s="5">
        <v>62</v>
      </c>
      <c r="C159" s="6" t="s">
        <v>141</v>
      </c>
      <c r="D159" s="6" t="s">
        <v>20</v>
      </c>
      <c r="E159" s="6" t="s">
        <v>13</v>
      </c>
      <c r="F159" s="6" t="s">
        <v>13</v>
      </c>
      <c r="G159" s="7" t="s">
        <v>163</v>
      </c>
      <c r="H159" s="5" t="s">
        <v>57</v>
      </c>
      <c r="I159" s="6"/>
      <c r="J159" s="8"/>
      <c r="K159" s="6"/>
      <c r="L159" s="6"/>
      <c r="M159" s="6"/>
      <c r="N159" s="6"/>
    </row>
    <row r="160" spans="2:14">
      <c r="B160" s="5">
        <v>63</v>
      </c>
      <c r="C160" s="6" t="s">
        <v>142</v>
      </c>
      <c r="D160" s="6" t="s">
        <v>151</v>
      </c>
      <c r="E160" s="6" t="s">
        <v>161</v>
      </c>
      <c r="F160" s="6" t="s">
        <v>13</v>
      </c>
      <c r="G160" s="7" t="s">
        <v>167</v>
      </c>
      <c r="H160" s="5" t="s">
        <v>57</v>
      </c>
      <c r="I160" s="6"/>
      <c r="J160" s="8"/>
      <c r="K160" s="6"/>
      <c r="L160" s="6"/>
      <c r="M160" s="6"/>
      <c r="N160" s="6"/>
    </row>
    <row r="161" spans="2:14">
      <c r="B161" s="5">
        <v>64</v>
      </c>
      <c r="C161" s="6" t="s">
        <v>112</v>
      </c>
      <c r="D161" s="6" t="s">
        <v>47</v>
      </c>
      <c r="E161" s="6" t="s">
        <v>13</v>
      </c>
      <c r="F161" s="6" t="s">
        <v>13</v>
      </c>
      <c r="G161" s="7" t="s">
        <v>165</v>
      </c>
      <c r="H161" s="5" t="s">
        <v>57</v>
      </c>
      <c r="I161" s="6"/>
      <c r="J161" s="8"/>
      <c r="K161" s="6"/>
      <c r="L161" s="6"/>
      <c r="M161" s="6"/>
      <c r="N161" s="6"/>
    </row>
    <row r="162" spans="2:14">
      <c r="B162" s="5">
        <v>65</v>
      </c>
      <c r="C162" s="6" t="s">
        <v>123</v>
      </c>
      <c r="D162" s="6" t="s">
        <v>47</v>
      </c>
      <c r="E162" s="6" t="s">
        <v>13</v>
      </c>
      <c r="F162" s="6" t="s">
        <v>13</v>
      </c>
      <c r="G162" s="7" t="s">
        <v>165</v>
      </c>
      <c r="H162" s="5" t="s">
        <v>57</v>
      </c>
      <c r="I162" s="6"/>
      <c r="J162" s="8"/>
      <c r="K162" s="6"/>
      <c r="L162" s="6"/>
      <c r="M162" s="6"/>
      <c r="N162" s="6"/>
    </row>
    <row r="163" spans="2:14" ht="30">
      <c r="B163" s="5">
        <v>66</v>
      </c>
      <c r="C163" s="6" t="s">
        <v>109</v>
      </c>
      <c r="D163" s="6" t="s">
        <v>20</v>
      </c>
      <c r="E163" s="6" t="s">
        <v>13</v>
      </c>
      <c r="F163" s="6" t="s">
        <v>13</v>
      </c>
      <c r="G163" s="9" t="s">
        <v>168</v>
      </c>
      <c r="H163" s="5" t="s">
        <v>57</v>
      </c>
      <c r="I163" s="6"/>
      <c r="J163" s="8"/>
      <c r="K163" s="6"/>
      <c r="L163" s="6"/>
      <c r="M163" s="6"/>
      <c r="N163" s="6"/>
    </row>
    <row r="164" spans="2:14">
      <c r="B164" s="5">
        <v>67</v>
      </c>
      <c r="C164" s="6" t="s">
        <v>91</v>
      </c>
      <c r="D164" s="6" t="s">
        <v>93</v>
      </c>
      <c r="E164" s="6" t="s">
        <v>93</v>
      </c>
      <c r="F164" s="6" t="s">
        <v>93</v>
      </c>
      <c r="G164" s="9" t="s">
        <v>94</v>
      </c>
      <c r="H164" s="5" t="s">
        <v>57</v>
      </c>
      <c r="I164" s="6"/>
      <c r="J164" s="8"/>
      <c r="K164" s="6"/>
      <c r="L164" s="6"/>
      <c r="M164" s="6"/>
      <c r="N164" s="6"/>
    </row>
  </sheetData>
  <mergeCells count="34">
    <mergeCell ref="I13:I14"/>
    <mergeCell ref="B4:C4"/>
    <mergeCell ref="B5:C5"/>
    <mergeCell ref="B6:C6"/>
    <mergeCell ref="B7:C7"/>
    <mergeCell ref="B8:C8"/>
    <mergeCell ref="B9:C9"/>
    <mergeCell ref="B10:C10"/>
    <mergeCell ref="B11:C11"/>
    <mergeCell ref="B13:B14"/>
    <mergeCell ref="C13:G13"/>
    <mergeCell ref="H13:H14"/>
    <mergeCell ref="J13:J14"/>
    <mergeCell ref="K13:K14"/>
    <mergeCell ref="L13:L14"/>
    <mergeCell ref="M13:M14"/>
    <mergeCell ref="N13:N14"/>
    <mergeCell ref="B87:C87"/>
    <mergeCell ref="B88:C88"/>
    <mergeCell ref="B89:C89"/>
    <mergeCell ref="B90:C90"/>
    <mergeCell ref="B91:C91"/>
    <mergeCell ref="B92:C92"/>
    <mergeCell ref="B93:C93"/>
    <mergeCell ref="B94:C94"/>
    <mergeCell ref="B96:B97"/>
    <mergeCell ref="C96:G96"/>
    <mergeCell ref="M96:M97"/>
    <mergeCell ref="N96:N97"/>
    <mergeCell ref="H96:H97"/>
    <mergeCell ref="I96:I97"/>
    <mergeCell ref="J96:J97"/>
    <mergeCell ref="K96:K97"/>
    <mergeCell ref="L96:L97"/>
  </mergeCells>
  <phoneticPr fontId="1"/>
  <conditionalFormatting sqref="H15:H82">
    <cfRule type="expression" dxfId="23" priority="9">
      <formula>$H15="進行中"</formula>
    </cfRule>
  </conditionalFormatting>
  <conditionalFormatting sqref="H98:H164">
    <cfRule type="expression" dxfId="22" priority="1">
      <formula>$H98="進行中"</formula>
    </cfRule>
  </conditionalFormatting>
  <conditionalFormatting sqref="H15:N82">
    <cfRule type="expression" dxfId="21" priority="10">
      <formula>$H15="NG"</formula>
    </cfRule>
    <cfRule type="expression" dxfId="20" priority="11">
      <formula>$H15="確認不可"</formula>
    </cfRule>
    <cfRule type="expression" dxfId="19" priority="12">
      <formula>$H15="確認完了"</formula>
    </cfRule>
  </conditionalFormatting>
  <conditionalFormatting sqref="H98:N164">
    <cfRule type="expression" dxfId="18" priority="2">
      <formula>$H98="NG"</formula>
    </cfRule>
    <cfRule type="expression" dxfId="17" priority="3">
      <formula>$H98="確認不可"</formula>
    </cfRule>
    <cfRule type="expression" dxfId="16" priority="4">
      <formula>$H98="確認完了"</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3EC7A4A-6208-4650-9A93-3ABD77A3C2E5}">
          <x14:formula1>
            <xm:f>定義!$D$1:$D$5</xm:f>
          </x14:formula1>
          <xm:sqref>H15:H82 H98:H164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1AA76-944B-460F-AE7E-177FE3BE609E}">
  <dimension ref="B2:N35"/>
  <sheetViews>
    <sheetView workbookViewId="0"/>
  </sheetViews>
  <sheetFormatPr defaultColWidth="9" defaultRowHeight="15"/>
  <cols>
    <col min="1" max="1" width="3.59765625" style="4" customWidth="1"/>
    <col min="2" max="2" width="4.5" style="10" bestFit="1" customWidth="1"/>
    <col min="3" max="3" width="22.19921875" style="4" bestFit="1" customWidth="1"/>
    <col min="4" max="4" width="15.3984375" style="4" bestFit="1" customWidth="1"/>
    <col min="5" max="5" width="35.3984375" style="4" bestFit="1" customWidth="1"/>
    <col min="6" max="6" width="4.5" style="4" bestFit="1" customWidth="1"/>
    <col min="7" max="7" width="63.3984375" style="4" bestFit="1" customWidth="1"/>
    <col min="8" max="8" width="7.5" style="4" bestFit="1" customWidth="1"/>
    <col min="9" max="9" width="6.59765625" style="4" bestFit="1" customWidth="1"/>
    <col min="10" max="11" width="6" style="4" bestFit="1" customWidth="1"/>
    <col min="12" max="12" width="4.5" style="4" bestFit="1" customWidth="1"/>
    <col min="13" max="13" width="7.5" style="4" bestFit="1" customWidth="1"/>
    <col min="14" max="14" width="21.5" style="4" customWidth="1"/>
    <col min="15" max="16384" width="9" style="4"/>
  </cols>
  <sheetData>
    <row r="2" spans="2:14" ht="19.8">
      <c r="B2" s="11" t="s">
        <v>172</v>
      </c>
    </row>
    <row r="4" spans="2:14">
      <c r="B4" s="15" t="s">
        <v>70</v>
      </c>
      <c r="C4" s="16"/>
      <c r="D4" s="3" t="str">
        <f>定義!B4</f>
        <v>1.0.4</v>
      </c>
    </row>
    <row r="5" spans="2:14">
      <c r="B5" s="17" t="s">
        <v>73</v>
      </c>
      <c r="C5" s="18"/>
      <c r="D5" s="3">
        <f>COUNT(B15:B17)</f>
        <v>3</v>
      </c>
    </row>
    <row r="6" spans="2:14">
      <c r="B6" s="19" t="s">
        <v>72</v>
      </c>
      <c r="C6" s="20"/>
      <c r="D6" s="13">
        <f xml:space="preserve"> D9 / COUNT(B15:B17)</f>
        <v>0</v>
      </c>
    </row>
    <row r="7" spans="2:14">
      <c r="B7" s="19" t="s">
        <v>57</v>
      </c>
      <c r="C7" s="20"/>
      <c r="D7" s="12">
        <f>COUNTIF($H$15:$H$17,"未着手")</f>
        <v>3</v>
      </c>
    </row>
    <row r="8" spans="2:14">
      <c r="B8" s="19" t="s">
        <v>58</v>
      </c>
      <c r="C8" s="20"/>
      <c r="D8" s="12">
        <f>COUNTIF($H$15:$H$17,"進行中")</f>
        <v>0</v>
      </c>
    </row>
    <row r="9" spans="2:14">
      <c r="B9" s="19" t="s">
        <v>71</v>
      </c>
      <c r="C9" s="20"/>
      <c r="D9" s="12">
        <f>COUNTIF($H$15:$H$17,"確認完了")</f>
        <v>0</v>
      </c>
    </row>
    <row r="10" spans="2:14">
      <c r="B10" s="19" t="s">
        <v>60</v>
      </c>
      <c r="C10" s="20"/>
      <c r="D10" s="12">
        <f>COUNTIF($H$15:$H$17,"確認不可")</f>
        <v>0</v>
      </c>
    </row>
    <row r="11" spans="2:14">
      <c r="B11" s="19" t="s">
        <v>61</v>
      </c>
      <c r="C11" s="20"/>
      <c r="D11" s="12">
        <f>COUNTIF($H$15:$H$17,"NG")</f>
        <v>0</v>
      </c>
    </row>
    <row r="13" spans="2:14">
      <c r="B13" s="14" t="s">
        <v>0</v>
      </c>
      <c r="C13" s="14" t="s">
        <v>1</v>
      </c>
      <c r="D13" s="14"/>
      <c r="E13" s="14"/>
      <c r="F13" s="14"/>
      <c r="G13" s="21"/>
      <c r="H13" s="22" t="s">
        <v>51</v>
      </c>
      <c r="I13" s="14" t="s">
        <v>5</v>
      </c>
      <c r="J13" s="24" t="s">
        <v>2</v>
      </c>
      <c r="K13" s="14" t="s">
        <v>6</v>
      </c>
      <c r="L13" s="14" t="s">
        <v>3</v>
      </c>
      <c r="M13" s="14" t="s">
        <v>4</v>
      </c>
      <c r="N13" s="14" t="s">
        <v>7</v>
      </c>
    </row>
    <row r="14" spans="2:14">
      <c r="B14" s="14"/>
      <c r="C14" s="1" t="s">
        <v>8</v>
      </c>
      <c r="D14" s="1" t="s">
        <v>9</v>
      </c>
      <c r="E14" s="1" t="s">
        <v>10</v>
      </c>
      <c r="F14" s="1" t="s">
        <v>11</v>
      </c>
      <c r="G14" s="2" t="s">
        <v>14</v>
      </c>
      <c r="H14" s="23"/>
      <c r="I14" s="14"/>
      <c r="J14" s="24"/>
      <c r="K14" s="14"/>
      <c r="L14" s="14"/>
      <c r="M14" s="14"/>
      <c r="N14" s="14"/>
    </row>
    <row r="15" spans="2:14">
      <c r="B15" s="5">
        <v>1</v>
      </c>
      <c r="C15" s="6" t="s">
        <v>174</v>
      </c>
      <c r="D15" s="6" t="s">
        <v>30</v>
      </c>
      <c r="E15" s="6" t="s">
        <v>13</v>
      </c>
      <c r="F15" s="6" t="s">
        <v>13</v>
      </c>
      <c r="G15" s="7" t="s">
        <v>176</v>
      </c>
      <c r="H15" s="5" t="s">
        <v>57</v>
      </c>
      <c r="I15" s="6"/>
      <c r="J15" s="8"/>
      <c r="K15" s="6"/>
      <c r="L15" s="6"/>
      <c r="M15" s="6"/>
      <c r="N15" s="6"/>
    </row>
    <row r="16" spans="2:14" ht="90">
      <c r="B16" s="5">
        <v>2</v>
      </c>
      <c r="C16" s="6" t="s">
        <v>175</v>
      </c>
      <c r="D16" s="6" t="s">
        <v>20</v>
      </c>
      <c r="E16" s="6" t="s">
        <v>13</v>
      </c>
      <c r="F16" s="6" t="s">
        <v>13</v>
      </c>
      <c r="G16" s="9" t="s">
        <v>177</v>
      </c>
      <c r="H16" s="5" t="s">
        <v>57</v>
      </c>
      <c r="I16" s="6"/>
      <c r="J16" s="8"/>
      <c r="K16" s="6"/>
      <c r="L16" s="6"/>
      <c r="M16" s="6"/>
      <c r="N16" s="6"/>
    </row>
    <row r="17" spans="2:14">
      <c r="B17" s="5">
        <v>3</v>
      </c>
      <c r="C17" s="6" t="s">
        <v>88</v>
      </c>
      <c r="D17" s="6" t="s">
        <v>20</v>
      </c>
      <c r="E17" s="6" t="s">
        <v>13</v>
      </c>
      <c r="F17" s="6" t="s">
        <v>13</v>
      </c>
      <c r="G17" s="7" t="s">
        <v>178</v>
      </c>
      <c r="H17" s="5" t="s">
        <v>57</v>
      </c>
      <c r="I17" s="6"/>
      <c r="J17" s="8"/>
      <c r="K17" s="6"/>
      <c r="L17" s="6"/>
      <c r="M17" s="6"/>
      <c r="N17" s="6"/>
    </row>
    <row r="20" spans="2:14" ht="19.8">
      <c r="B20" s="11" t="s">
        <v>173</v>
      </c>
    </row>
    <row r="22" spans="2:14">
      <c r="B22" s="15" t="s">
        <v>70</v>
      </c>
      <c r="C22" s="16"/>
      <c r="D22" s="3">
        <f>定義!B87</f>
        <v>0</v>
      </c>
    </row>
    <row r="23" spans="2:14">
      <c r="B23" s="17" t="s">
        <v>73</v>
      </c>
      <c r="C23" s="18"/>
      <c r="D23" s="3">
        <f>COUNT($B33:$B35)</f>
        <v>3</v>
      </c>
    </row>
    <row r="24" spans="2:14">
      <c r="B24" s="19" t="s">
        <v>72</v>
      </c>
      <c r="C24" s="20"/>
      <c r="D24" s="13">
        <f xml:space="preserve"> D27 / COUNT($B33:$B35)</f>
        <v>0</v>
      </c>
    </row>
    <row r="25" spans="2:14">
      <c r="B25" s="19" t="s">
        <v>57</v>
      </c>
      <c r="C25" s="20"/>
      <c r="D25" s="12">
        <f>COUNTIF($H$33:$H$35,"未着手")</f>
        <v>3</v>
      </c>
    </row>
    <row r="26" spans="2:14">
      <c r="B26" s="19" t="s">
        <v>58</v>
      </c>
      <c r="C26" s="20"/>
      <c r="D26" s="12">
        <f>COUNTIF($H$33:$H$35,"進行中")</f>
        <v>0</v>
      </c>
    </row>
    <row r="27" spans="2:14">
      <c r="B27" s="19" t="s">
        <v>71</v>
      </c>
      <c r="C27" s="20"/>
      <c r="D27" s="12">
        <f>COUNTIF($H$33:$H$35,"確認完了")</f>
        <v>0</v>
      </c>
    </row>
    <row r="28" spans="2:14">
      <c r="B28" s="19" t="s">
        <v>60</v>
      </c>
      <c r="C28" s="20"/>
      <c r="D28" s="12">
        <f>COUNTIF($H$33:$H$35,"確認不可")</f>
        <v>0</v>
      </c>
    </row>
    <row r="29" spans="2:14">
      <c r="B29" s="19" t="s">
        <v>61</v>
      </c>
      <c r="C29" s="20"/>
      <c r="D29" s="12">
        <f>COUNTIF($H$33:$H$35,"NG")</f>
        <v>0</v>
      </c>
    </row>
    <row r="31" spans="2:14">
      <c r="B31" s="14" t="s">
        <v>0</v>
      </c>
      <c r="C31" s="14" t="s">
        <v>1</v>
      </c>
      <c r="D31" s="14"/>
      <c r="E31" s="14"/>
      <c r="F31" s="14"/>
      <c r="G31" s="21"/>
      <c r="H31" s="22" t="s">
        <v>51</v>
      </c>
      <c r="I31" s="14" t="s">
        <v>5</v>
      </c>
      <c r="J31" s="24" t="s">
        <v>2</v>
      </c>
      <c r="K31" s="14" t="s">
        <v>6</v>
      </c>
      <c r="L31" s="14" t="s">
        <v>3</v>
      </c>
      <c r="M31" s="14" t="s">
        <v>4</v>
      </c>
      <c r="N31" s="14" t="s">
        <v>7</v>
      </c>
    </row>
    <row r="32" spans="2:14">
      <c r="B32" s="14"/>
      <c r="C32" s="1" t="s">
        <v>8</v>
      </c>
      <c r="D32" s="1" t="s">
        <v>9</v>
      </c>
      <c r="E32" s="1" t="s">
        <v>10</v>
      </c>
      <c r="F32" s="1" t="s">
        <v>11</v>
      </c>
      <c r="G32" s="2" t="s">
        <v>14</v>
      </c>
      <c r="H32" s="23"/>
      <c r="I32" s="14"/>
      <c r="J32" s="24"/>
      <c r="K32" s="14"/>
      <c r="L32" s="14"/>
      <c r="M32" s="14"/>
      <c r="N32" s="14"/>
    </row>
    <row r="33" spans="2:14">
      <c r="B33" s="5">
        <v>1</v>
      </c>
      <c r="C33" s="6" t="s">
        <v>174</v>
      </c>
      <c r="D33" s="6" t="s">
        <v>30</v>
      </c>
      <c r="E33" s="6" t="s">
        <v>13</v>
      </c>
      <c r="F33" s="6" t="s">
        <v>13</v>
      </c>
      <c r="G33" s="7" t="s">
        <v>176</v>
      </c>
      <c r="H33" s="5" t="s">
        <v>57</v>
      </c>
      <c r="I33" s="6"/>
      <c r="J33" s="8"/>
      <c r="K33" s="6"/>
      <c r="L33" s="6"/>
      <c r="M33" s="6"/>
      <c r="N33" s="6"/>
    </row>
    <row r="34" spans="2:14" ht="90">
      <c r="B34" s="5">
        <v>2</v>
      </c>
      <c r="C34" s="6" t="s">
        <v>175</v>
      </c>
      <c r="D34" s="6" t="s">
        <v>20</v>
      </c>
      <c r="E34" s="6" t="s">
        <v>13</v>
      </c>
      <c r="F34" s="6" t="s">
        <v>13</v>
      </c>
      <c r="G34" s="9" t="s">
        <v>177</v>
      </c>
      <c r="H34" s="5" t="s">
        <v>57</v>
      </c>
      <c r="I34" s="6"/>
      <c r="J34" s="8"/>
      <c r="K34" s="6"/>
      <c r="L34" s="6"/>
      <c r="M34" s="6"/>
      <c r="N34" s="6"/>
    </row>
    <row r="35" spans="2:14">
      <c r="B35" s="5">
        <v>3</v>
      </c>
      <c r="C35" s="6" t="s">
        <v>88</v>
      </c>
      <c r="D35" s="6" t="s">
        <v>20</v>
      </c>
      <c r="E35" s="6" t="s">
        <v>13</v>
      </c>
      <c r="F35" s="6" t="s">
        <v>13</v>
      </c>
      <c r="G35" s="7" t="s">
        <v>178</v>
      </c>
      <c r="H35" s="5" t="s">
        <v>57</v>
      </c>
      <c r="I35" s="6"/>
      <c r="J35" s="8"/>
      <c r="K35" s="6"/>
      <c r="L35" s="6"/>
      <c r="M35" s="6"/>
      <c r="N35" s="6"/>
    </row>
  </sheetData>
  <mergeCells count="34">
    <mergeCell ref="B9:C9"/>
    <mergeCell ref="B4:C4"/>
    <mergeCell ref="B5:C5"/>
    <mergeCell ref="B6:C6"/>
    <mergeCell ref="B7:C7"/>
    <mergeCell ref="B8:C8"/>
    <mergeCell ref="N13:N14"/>
    <mergeCell ref="B22:C22"/>
    <mergeCell ref="B10:C10"/>
    <mergeCell ref="B11:C11"/>
    <mergeCell ref="B13:B14"/>
    <mergeCell ref="C13:G13"/>
    <mergeCell ref="H13:H14"/>
    <mergeCell ref="I13:I14"/>
    <mergeCell ref="B28:C28"/>
    <mergeCell ref="J13:J14"/>
    <mergeCell ref="K13:K14"/>
    <mergeCell ref="L13:L14"/>
    <mergeCell ref="M13:M14"/>
    <mergeCell ref="B23:C23"/>
    <mergeCell ref="B24:C24"/>
    <mergeCell ref="B25:C25"/>
    <mergeCell ref="B26:C26"/>
    <mergeCell ref="B27:C27"/>
    <mergeCell ref="K31:K32"/>
    <mergeCell ref="L31:L32"/>
    <mergeCell ref="M31:M32"/>
    <mergeCell ref="N31:N32"/>
    <mergeCell ref="B29:C29"/>
    <mergeCell ref="B31:B32"/>
    <mergeCell ref="C31:G31"/>
    <mergeCell ref="H31:H32"/>
    <mergeCell ref="I31:I32"/>
    <mergeCell ref="J31:J32"/>
  </mergeCells>
  <phoneticPr fontId="1"/>
  <conditionalFormatting sqref="H15:H17">
    <cfRule type="expression" dxfId="15" priority="5">
      <formula>$H15="進行中"</formula>
    </cfRule>
  </conditionalFormatting>
  <conditionalFormatting sqref="H33:H35">
    <cfRule type="expression" dxfId="14" priority="1">
      <formula>$H33="進行中"</formula>
    </cfRule>
  </conditionalFormatting>
  <conditionalFormatting sqref="H15:N17">
    <cfRule type="expression" dxfId="13" priority="6">
      <formula>$H15="NG"</formula>
    </cfRule>
    <cfRule type="expression" dxfId="12" priority="7">
      <formula>$H15="確認不可"</formula>
    </cfRule>
    <cfRule type="expression" dxfId="11" priority="8">
      <formula>$H15="確認完了"</formula>
    </cfRule>
  </conditionalFormatting>
  <conditionalFormatting sqref="H33:N35">
    <cfRule type="expression" dxfId="10" priority="2">
      <formula>$H33="NG"</formula>
    </cfRule>
    <cfRule type="expression" dxfId="9" priority="3">
      <formula>$H33="確認不可"</formula>
    </cfRule>
    <cfRule type="expression" dxfId="8" priority="4">
      <formula>$H33="確認完了"</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C937A00-0530-46B3-8A33-2D8FB338E749}">
          <x14:formula1>
            <xm:f>定義!$D$1:$D$5</xm:f>
          </x14:formula1>
          <xm:sqref>H15:H17 H33:H35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B6330-BF6F-4F01-8EAD-B54A9DA7940F}">
  <dimension ref="B2:O68"/>
  <sheetViews>
    <sheetView tabSelected="1" workbookViewId="0">
      <selection activeCell="D46" sqref="D46"/>
    </sheetView>
  </sheetViews>
  <sheetFormatPr defaultColWidth="9" defaultRowHeight="15"/>
  <cols>
    <col min="1" max="1" width="3.59765625" style="4" customWidth="1"/>
    <col min="2" max="2" width="4.5" style="10" bestFit="1" customWidth="1"/>
    <col min="3" max="3" width="17.19921875" style="4" bestFit="1" customWidth="1"/>
    <col min="4" max="4" width="9" style="4" bestFit="1" customWidth="1"/>
    <col min="5" max="5" width="12.19921875" style="4" bestFit="1" customWidth="1"/>
    <col min="6" max="6" width="17.09765625" style="4" bestFit="1" customWidth="1"/>
    <col min="7" max="7" width="4.5" style="4" bestFit="1" customWidth="1"/>
    <col min="8" max="8" width="50.3984375" style="4" bestFit="1" customWidth="1"/>
    <col min="9" max="9" width="7.5" style="4" bestFit="1" customWidth="1"/>
    <col min="10" max="11" width="6" style="4" bestFit="1" customWidth="1"/>
    <col min="12" max="12" width="4.5" style="4" bestFit="1" customWidth="1"/>
    <col min="13" max="13" width="7.5" style="4" bestFit="1" customWidth="1"/>
    <col min="14" max="14" width="21.5" style="4" customWidth="1"/>
    <col min="15" max="16384" width="9" style="4"/>
  </cols>
  <sheetData>
    <row r="2" spans="2:15" ht="19.8">
      <c r="B2" s="11" t="s">
        <v>180</v>
      </c>
    </row>
    <row r="4" spans="2:15">
      <c r="B4" s="15" t="s">
        <v>70</v>
      </c>
      <c r="C4" s="16"/>
      <c r="D4" s="3" t="str">
        <f>定義!B4</f>
        <v>1.0.4</v>
      </c>
    </row>
    <row r="5" spans="2:15">
      <c r="B5" s="17" t="s">
        <v>73</v>
      </c>
      <c r="C5" s="18"/>
      <c r="D5" s="3">
        <f>COUNT($B$15:$B$46)</f>
        <v>32</v>
      </c>
    </row>
    <row r="6" spans="2:15">
      <c r="B6" s="19" t="s">
        <v>72</v>
      </c>
      <c r="C6" s="20"/>
      <c r="D6" s="13">
        <f xml:space="preserve"> D9 / COUNT($B$15:$B$46)</f>
        <v>0</v>
      </c>
    </row>
    <row r="7" spans="2:15">
      <c r="B7" s="19" t="s">
        <v>57</v>
      </c>
      <c r="C7" s="20"/>
      <c r="D7" s="12">
        <f>COUNTIF($I$15:$I$46,"未着手")</f>
        <v>32</v>
      </c>
    </row>
    <row r="8" spans="2:15">
      <c r="B8" s="19" t="s">
        <v>58</v>
      </c>
      <c r="C8" s="20"/>
      <c r="D8" s="12">
        <f>COUNTIF($I$15:$I$46,"進行中")</f>
        <v>0</v>
      </c>
    </row>
    <row r="9" spans="2:15">
      <c r="B9" s="19" t="s">
        <v>71</v>
      </c>
      <c r="C9" s="20"/>
      <c r="D9" s="12">
        <f>COUNTIF($I$15:$I$46,"確認完了")</f>
        <v>0</v>
      </c>
    </row>
    <row r="10" spans="2:15">
      <c r="B10" s="19" t="s">
        <v>60</v>
      </c>
      <c r="C10" s="20"/>
      <c r="D10" s="12">
        <f>COUNTIF($I$15:$I$46,"確認不可")</f>
        <v>0</v>
      </c>
    </row>
    <row r="11" spans="2:15">
      <c r="B11" s="19" t="s">
        <v>61</v>
      </c>
      <c r="C11" s="20"/>
      <c r="D11" s="12">
        <f>COUNTIF($I$15:$I$46,"NG")</f>
        <v>0</v>
      </c>
    </row>
    <row r="13" spans="2:15">
      <c r="B13" s="14" t="s">
        <v>0</v>
      </c>
      <c r="C13" s="17" t="s">
        <v>1</v>
      </c>
      <c r="D13" s="25"/>
      <c r="E13" s="25"/>
      <c r="F13" s="25"/>
      <c r="G13" s="25"/>
      <c r="H13" s="18"/>
      <c r="I13" s="22" t="s">
        <v>51</v>
      </c>
      <c r="J13" s="14" t="s">
        <v>5</v>
      </c>
      <c r="K13" s="24" t="s">
        <v>2</v>
      </c>
      <c r="L13" s="14" t="s">
        <v>6</v>
      </c>
      <c r="M13" s="14" t="s">
        <v>3</v>
      </c>
      <c r="N13" s="14" t="s">
        <v>4</v>
      </c>
      <c r="O13" s="14" t="s">
        <v>7</v>
      </c>
    </row>
    <row r="14" spans="2:15">
      <c r="B14" s="14"/>
      <c r="C14" s="1" t="s">
        <v>8</v>
      </c>
      <c r="D14" s="1" t="s">
        <v>237</v>
      </c>
      <c r="E14" s="1" t="s">
        <v>9</v>
      </c>
      <c r="F14" s="1" t="s">
        <v>10</v>
      </c>
      <c r="G14" s="1" t="s">
        <v>11</v>
      </c>
      <c r="H14" s="2" t="s">
        <v>14</v>
      </c>
      <c r="I14" s="23"/>
      <c r="J14" s="14"/>
      <c r="K14" s="24"/>
      <c r="L14" s="14"/>
      <c r="M14" s="14"/>
      <c r="N14" s="14"/>
      <c r="O14" s="14"/>
    </row>
    <row r="15" spans="2:15">
      <c r="B15" s="5">
        <v>1</v>
      </c>
      <c r="C15" s="6" t="s">
        <v>76</v>
      </c>
      <c r="D15" s="6" t="s">
        <v>238</v>
      </c>
      <c r="E15" s="6" t="s">
        <v>12</v>
      </c>
      <c r="F15" s="6" t="s">
        <v>93</v>
      </c>
      <c r="G15" s="6" t="s">
        <v>93</v>
      </c>
      <c r="H15" s="7" t="s">
        <v>193</v>
      </c>
      <c r="I15" s="5" t="s">
        <v>57</v>
      </c>
      <c r="J15" s="6"/>
      <c r="K15" s="8"/>
      <c r="L15" s="6"/>
      <c r="M15" s="6"/>
      <c r="N15" s="6"/>
      <c r="O15" s="6"/>
    </row>
    <row r="16" spans="2:15">
      <c r="B16" s="5">
        <v>2</v>
      </c>
      <c r="C16" s="6" t="s">
        <v>17</v>
      </c>
      <c r="D16" s="6" t="s">
        <v>238</v>
      </c>
      <c r="E16" s="6" t="s">
        <v>18</v>
      </c>
      <c r="F16" s="6" t="s">
        <v>13</v>
      </c>
      <c r="G16" s="6" t="s">
        <v>13</v>
      </c>
      <c r="H16" s="9" t="s">
        <v>194</v>
      </c>
      <c r="I16" s="5" t="s">
        <v>57</v>
      </c>
      <c r="J16" s="6"/>
      <c r="K16" s="8"/>
      <c r="L16" s="6"/>
      <c r="M16" s="6"/>
      <c r="N16" s="6"/>
      <c r="O16" s="6"/>
    </row>
    <row r="17" spans="2:15">
      <c r="B17" s="5">
        <v>3</v>
      </c>
      <c r="C17" s="6" t="s">
        <v>182</v>
      </c>
      <c r="D17" s="6" t="s">
        <v>238</v>
      </c>
      <c r="E17" s="6" t="s">
        <v>195</v>
      </c>
      <c r="F17" s="6" t="s">
        <v>13</v>
      </c>
      <c r="G17" s="6" t="s">
        <v>13</v>
      </c>
      <c r="H17" s="7" t="s">
        <v>200</v>
      </c>
      <c r="I17" s="5" t="s">
        <v>57</v>
      </c>
      <c r="J17" s="6"/>
      <c r="K17" s="8"/>
      <c r="L17" s="6"/>
      <c r="M17" s="6"/>
      <c r="N17" s="6"/>
      <c r="O17" s="6"/>
    </row>
    <row r="18" spans="2:15">
      <c r="B18" s="5">
        <v>4</v>
      </c>
      <c r="C18" s="6" t="s">
        <v>199</v>
      </c>
      <c r="D18" s="6" t="s">
        <v>238</v>
      </c>
      <c r="E18" s="6" t="s">
        <v>187</v>
      </c>
      <c r="F18" s="6" t="s">
        <v>13</v>
      </c>
      <c r="G18" s="6" t="s">
        <v>13</v>
      </c>
      <c r="H18" s="7" t="s">
        <v>201</v>
      </c>
      <c r="I18" s="5" t="s">
        <v>57</v>
      </c>
      <c r="J18" s="6"/>
      <c r="K18" s="8"/>
      <c r="L18" s="6"/>
      <c r="M18" s="6"/>
      <c r="N18" s="6"/>
      <c r="O18" s="6"/>
    </row>
    <row r="19" spans="2:15">
      <c r="B19" s="5">
        <v>5</v>
      </c>
      <c r="C19" s="6" t="s">
        <v>210</v>
      </c>
      <c r="D19" s="6" t="s">
        <v>238</v>
      </c>
      <c r="E19" s="6" t="s">
        <v>187</v>
      </c>
      <c r="F19" s="6" t="s">
        <v>211</v>
      </c>
      <c r="G19" s="6" t="s">
        <v>13</v>
      </c>
      <c r="H19" s="7" t="s">
        <v>204</v>
      </c>
      <c r="I19" s="5" t="s">
        <v>57</v>
      </c>
      <c r="J19" s="6"/>
      <c r="K19" s="8"/>
      <c r="L19" s="6"/>
      <c r="M19" s="6"/>
      <c r="N19" s="6"/>
      <c r="O19" s="6"/>
    </row>
    <row r="20" spans="2:15">
      <c r="B20" s="5">
        <v>6</v>
      </c>
      <c r="C20" s="6" t="s">
        <v>212</v>
      </c>
      <c r="D20" s="6" t="s">
        <v>238</v>
      </c>
      <c r="E20" s="6" t="s">
        <v>187</v>
      </c>
      <c r="F20" s="6" t="s">
        <v>211</v>
      </c>
      <c r="G20" s="6" t="s">
        <v>13</v>
      </c>
      <c r="H20" s="7" t="s">
        <v>204</v>
      </c>
      <c r="I20" s="5" t="s">
        <v>57</v>
      </c>
      <c r="J20" s="6"/>
      <c r="K20" s="8"/>
      <c r="L20" s="6"/>
      <c r="M20" s="6"/>
      <c r="N20" s="6"/>
      <c r="O20" s="6"/>
    </row>
    <row r="21" spans="2:15">
      <c r="B21" s="5">
        <v>7</v>
      </c>
      <c r="C21" s="6" t="s">
        <v>213</v>
      </c>
      <c r="D21" s="6" t="s">
        <v>238</v>
      </c>
      <c r="E21" s="6" t="s">
        <v>187</v>
      </c>
      <c r="F21" s="6" t="s">
        <v>211</v>
      </c>
      <c r="G21" s="6" t="s">
        <v>13</v>
      </c>
      <c r="H21" s="7" t="s">
        <v>204</v>
      </c>
      <c r="I21" s="5" t="s">
        <v>57</v>
      </c>
      <c r="J21" s="6"/>
      <c r="K21" s="8"/>
      <c r="L21" s="6"/>
      <c r="M21" s="6"/>
      <c r="N21" s="6"/>
      <c r="O21" s="6"/>
    </row>
    <row r="22" spans="2:15">
      <c r="B22" s="5">
        <v>8</v>
      </c>
      <c r="C22" s="6" t="s">
        <v>214</v>
      </c>
      <c r="D22" s="6" t="s">
        <v>238</v>
      </c>
      <c r="E22" s="6" t="s">
        <v>187</v>
      </c>
      <c r="F22" s="6" t="s">
        <v>211</v>
      </c>
      <c r="G22" s="6" t="s">
        <v>13</v>
      </c>
      <c r="H22" s="7" t="s">
        <v>204</v>
      </c>
      <c r="I22" s="5" t="s">
        <v>57</v>
      </c>
      <c r="J22" s="6"/>
      <c r="K22" s="8"/>
      <c r="L22" s="6"/>
      <c r="M22" s="6"/>
      <c r="N22" s="6"/>
      <c r="O22" s="6"/>
    </row>
    <row r="23" spans="2:15">
      <c r="B23" s="5">
        <v>9</v>
      </c>
      <c r="C23" s="6" t="s">
        <v>215</v>
      </c>
      <c r="D23" s="6" t="s">
        <v>238</v>
      </c>
      <c r="E23" s="6" t="s">
        <v>187</v>
      </c>
      <c r="F23" s="6" t="s">
        <v>211</v>
      </c>
      <c r="G23" s="6" t="s">
        <v>13</v>
      </c>
      <c r="H23" s="7" t="s">
        <v>204</v>
      </c>
      <c r="I23" s="5" t="s">
        <v>57</v>
      </c>
      <c r="J23" s="6"/>
      <c r="K23" s="8"/>
      <c r="L23" s="6"/>
      <c r="M23" s="6"/>
      <c r="N23" s="6"/>
      <c r="O23" s="6"/>
    </row>
    <row r="24" spans="2:15">
      <c r="B24" s="5">
        <v>10</v>
      </c>
      <c r="C24" s="6" t="s">
        <v>197</v>
      </c>
      <c r="D24" s="6" t="s">
        <v>238</v>
      </c>
      <c r="E24" s="6" t="s">
        <v>187</v>
      </c>
      <c r="F24" s="6" t="s">
        <v>13</v>
      </c>
      <c r="G24" s="6" t="s">
        <v>13</v>
      </c>
      <c r="H24" s="7" t="s">
        <v>204</v>
      </c>
      <c r="I24" s="5" t="s">
        <v>57</v>
      </c>
      <c r="J24" s="6"/>
      <c r="K24" s="8"/>
      <c r="L24" s="6"/>
      <c r="M24" s="6"/>
      <c r="N24" s="6"/>
      <c r="O24" s="6"/>
    </row>
    <row r="25" spans="2:15">
      <c r="B25" s="5">
        <v>11</v>
      </c>
      <c r="C25" s="6" t="s">
        <v>216</v>
      </c>
      <c r="D25" s="6" t="s">
        <v>238</v>
      </c>
      <c r="E25" s="6" t="s">
        <v>187</v>
      </c>
      <c r="F25" s="6" t="s">
        <v>217</v>
      </c>
      <c r="G25" s="6" t="s">
        <v>13</v>
      </c>
      <c r="H25" s="7" t="s">
        <v>204</v>
      </c>
      <c r="I25" s="5" t="s">
        <v>57</v>
      </c>
      <c r="J25" s="6"/>
      <c r="K25" s="8"/>
      <c r="L25" s="6"/>
      <c r="M25" s="6"/>
      <c r="N25" s="6"/>
      <c r="O25" s="6"/>
    </row>
    <row r="26" spans="2:15">
      <c r="B26" s="5">
        <v>12</v>
      </c>
      <c r="C26" s="6" t="s">
        <v>218</v>
      </c>
      <c r="D26" s="6" t="s">
        <v>238</v>
      </c>
      <c r="E26" s="6" t="s">
        <v>187</v>
      </c>
      <c r="F26" s="6" t="s">
        <v>217</v>
      </c>
      <c r="G26" s="6" t="s">
        <v>13</v>
      </c>
      <c r="H26" s="7" t="s">
        <v>204</v>
      </c>
      <c r="I26" s="5" t="s">
        <v>57</v>
      </c>
      <c r="J26" s="6"/>
      <c r="K26" s="8"/>
      <c r="L26" s="6"/>
      <c r="M26" s="6"/>
      <c r="N26" s="6"/>
      <c r="O26" s="6"/>
    </row>
    <row r="27" spans="2:15">
      <c r="B27" s="5">
        <v>13</v>
      </c>
      <c r="C27" s="6" t="s">
        <v>219</v>
      </c>
      <c r="D27" s="6" t="s">
        <v>238</v>
      </c>
      <c r="E27" s="6" t="s">
        <v>187</v>
      </c>
      <c r="F27" s="6" t="s">
        <v>217</v>
      </c>
      <c r="G27" s="6" t="s">
        <v>13</v>
      </c>
      <c r="H27" s="7" t="s">
        <v>204</v>
      </c>
      <c r="I27" s="5" t="s">
        <v>57</v>
      </c>
      <c r="J27" s="6"/>
      <c r="K27" s="8"/>
      <c r="L27" s="6"/>
      <c r="M27" s="6"/>
      <c r="N27" s="6"/>
      <c r="O27" s="6"/>
    </row>
    <row r="28" spans="2:15">
      <c r="B28" s="5">
        <v>14</v>
      </c>
      <c r="C28" s="6" t="s">
        <v>198</v>
      </c>
      <c r="D28" s="6" t="s">
        <v>238</v>
      </c>
      <c r="E28" s="6" t="s">
        <v>187</v>
      </c>
      <c r="F28" s="6" t="s">
        <v>13</v>
      </c>
      <c r="G28" s="6" t="s">
        <v>13</v>
      </c>
      <c r="H28" s="7" t="s">
        <v>205</v>
      </c>
      <c r="I28" s="5" t="s">
        <v>57</v>
      </c>
      <c r="J28" s="6"/>
      <c r="K28" s="8"/>
      <c r="L28" s="6"/>
      <c r="M28" s="6"/>
      <c r="N28" s="6"/>
      <c r="O28" s="6"/>
    </row>
    <row r="29" spans="2:15">
      <c r="B29" s="5">
        <v>15</v>
      </c>
      <c r="C29" s="6" t="s">
        <v>220</v>
      </c>
      <c r="D29" s="6" t="s">
        <v>238</v>
      </c>
      <c r="E29" s="6" t="s">
        <v>187</v>
      </c>
      <c r="F29" s="6" t="s">
        <v>228</v>
      </c>
      <c r="G29" s="6" t="s">
        <v>13</v>
      </c>
      <c r="H29" s="7" t="s">
        <v>205</v>
      </c>
      <c r="I29" s="5" t="s">
        <v>57</v>
      </c>
      <c r="J29" s="6"/>
      <c r="K29" s="8"/>
      <c r="L29" s="6"/>
      <c r="M29" s="6"/>
      <c r="N29" s="6"/>
      <c r="O29" s="6"/>
    </row>
    <row r="30" spans="2:15">
      <c r="B30" s="5">
        <v>16</v>
      </c>
      <c r="C30" s="6" t="s">
        <v>221</v>
      </c>
      <c r="D30" s="6" t="s">
        <v>238</v>
      </c>
      <c r="E30" s="6" t="s">
        <v>187</v>
      </c>
      <c r="F30" s="6" t="s">
        <v>228</v>
      </c>
      <c r="G30" s="6" t="s">
        <v>13</v>
      </c>
      <c r="H30" s="7" t="s">
        <v>205</v>
      </c>
      <c r="I30" s="5" t="s">
        <v>57</v>
      </c>
      <c r="J30" s="6"/>
      <c r="K30" s="8"/>
      <c r="L30" s="6"/>
      <c r="M30" s="6"/>
      <c r="N30" s="6"/>
      <c r="O30" s="6"/>
    </row>
    <row r="31" spans="2:15">
      <c r="B31" s="5">
        <v>17</v>
      </c>
      <c r="C31" s="6" t="s">
        <v>183</v>
      </c>
      <c r="D31" s="6" t="s">
        <v>238</v>
      </c>
      <c r="E31" s="6" t="s">
        <v>195</v>
      </c>
      <c r="F31" s="6" t="s">
        <v>13</v>
      </c>
      <c r="G31" s="6" t="s">
        <v>13</v>
      </c>
      <c r="H31" s="7" t="s">
        <v>202</v>
      </c>
      <c r="I31" s="5" t="s">
        <v>57</v>
      </c>
      <c r="J31" s="6"/>
      <c r="K31" s="8"/>
      <c r="L31" s="6"/>
      <c r="M31" s="6"/>
      <c r="N31" s="6"/>
      <c r="O31" s="6"/>
    </row>
    <row r="32" spans="2:15">
      <c r="B32" s="5">
        <v>18</v>
      </c>
      <c r="C32" s="6" t="s">
        <v>206</v>
      </c>
      <c r="D32" s="6" t="s">
        <v>238</v>
      </c>
      <c r="E32" s="6" t="s">
        <v>187</v>
      </c>
      <c r="F32" s="6" t="s">
        <v>13</v>
      </c>
      <c r="G32" s="6" t="s">
        <v>13</v>
      </c>
      <c r="H32" s="7" t="s">
        <v>207</v>
      </c>
      <c r="I32" s="5" t="s">
        <v>57</v>
      </c>
      <c r="J32" s="6"/>
      <c r="K32" s="8"/>
      <c r="L32" s="6"/>
      <c r="M32" s="6"/>
      <c r="N32" s="6"/>
      <c r="O32" s="6"/>
    </row>
    <row r="33" spans="2:15">
      <c r="B33" s="5">
        <v>19</v>
      </c>
      <c r="C33" s="6" t="s">
        <v>222</v>
      </c>
      <c r="D33" s="6" t="s">
        <v>238</v>
      </c>
      <c r="E33" s="6" t="s">
        <v>187</v>
      </c>
      <c r="F33" s="6" t="s">
        <v>229</v>
      </c>
      <c r="G33" s="6" t="s">
        <v>13</v>
      </c>
      <c r="H33" s="7" t="s">
        <v>207</v>
      </c>
      <c r="I33" s="5" t="s">
        <v>57</v>
      </c>
      <c r="J33" s="6"/>
      <c r="K33" s="8"/>
      <c r="L33" s="6"/>
      <c r="M33" s="6"/>
      <c r="N33" s="6"/>
      <c r="O33" s="6"/>
    </row>
    <row r="34" spans="2:15">
      <c r="B34" s="5">
        <v>20</v>
      </c>
      <c r="C34" s="6" t="s">
        <v>223</v>
      </c>
      <c r="D34" s="6" t="s">
        <v>238</v>
      </c>
      <c r="E34" s="6" t="s">
        <v>187</v>
      </c>
      <c r="F34" s="6" t="s">
        <v>229</v>
      </c>
      <c r="G34" s="6" t="s">
        <v>13</v>
      </c>
      <c r="H34" s="7" t="s">
        <v>207</v>
      </c>
      <c r="I34" s="5" t="s">
        <v>57</v>
      </c>
      <c r="J34" s="6"/>
      <c r="K34" s="8"/>
      <c r="L34" s="6"/>
      <c r="M34" s="6"/>
      <c r="N34" s="6"/>
      <c r="O34" s="6"/>
    </row>
    <row r="35" spans="2:15">
      <c r="B35" s="5">
        <v>21</v>
      </c>
      <c r="C35" s="6" t="s">
        <v>224</v>
      </c>
      <c r="D35" s="6" t="s">
        <v>238</v>
      </c>
      <c r="E35" s="6" t="s">
        <v>187</v>
      </c>
      <c r="F35" s="6" t="s">
        <v>229</v>
      </c>
      <c r="G35" s="6" t="s">
        <v>13</v>
      </c>
      <c r="H35" s="7" t="s">
        <v>207</v>
      </c>
      <c r="I35" s="5" t="s">
        <v>57</v>
      </c>
      <c r="J35" s="6"/>
      <c r="K35" s="8"/>
      <c r="L35" s="6"/>
      <c r="M35" s="6"/>
      <c r="N35" s="6"/>
      <c r="O35" s="6"/>
    </row>
    <row r="36" spans="2:15">
      <c r="B36" s="5">
        <v>22</v>
      </c>
      <c r="C36" s="6" t="s">
        <v>225</v>
      </c>
      <c r="D36" s="6" t="s">
        <v>238</v>
      </c>
      <c r="E36" s="6" t="s">
        <v>187</v>
      </c>
      <c r="F36" s="6" t="s">
        <v>229</v>
      </c>
      <c r="G36" s="6" t="s">
        <v>13</v>
      </c>
      <c r="H36" s="7" t="s">
        <v>207</v>
      </c>
      <c r="I36" s="5" t="s">
        <v>57</v>
      </c>
      <c r="J36" s="6"/>
      <c r="K36" s="8"/>
      <c r="L36" s="6"/>
      <c r="M36" s="6"/>
      <c r="N36" s="6"/>
      <c r="O36" s="6"/>
    </row>
    <row r="37" spans="2:15">
      <c r="B37" s="5">
        <v>23</v>
      </c>
      <c r="C37" s="6" t="s">
        <v>196</v>
      </c>
      <c r="D37" s="6" t="s">
        <v>238</v>
      </c>
      <c r="E37" s="6" t="s">
        <v>195</v>
      </c>
      <c r="F37" s="6" t="s">
        <v>13</v>
      </c>
      <c r="G37" s="6" t="s">
        <v>13</v>
      </c>
      <c r="H37" s="7" t="s">
        <v>203</v>
      </c>
      <c r="I37" s="5" t="s">
        <v>57</v>
      </c>
      <c r="J37" s="6"/>
      <c r="K37" s="8"/>
      <c r="L37" s="6"/>
      <c r="M37" s="6"/>
      <c r="N37" s="6"/>
      <c r="O37" s="6"/>
    </row>
    <row r="38" spans="2:15">
      <c r="B38" s="5">
        <v>24</v>
      </c>
      <c r="C38" s="6" t="s">
        <v>208</v>
      </c>
      <c r="D38" s="6" t="s">
        <v>238</v>
      </c>
      <c r="E38" s="6" t="s">
        <v>187</v>
      </c>
      <c r="F38" s="6" t="s">
        <v>13</v>
      </c>
      <c r="G38" s="6" t="s">
        <v>13</v>
      </c>
      <c r="H38" s="7" t="s">
        <v>209</v>
      </c>
      <c r="I38" s="5" t="s">
        <v>57</v>
      </c>
      <c r="J38" s="6"/>
      <c r="K38" s="8"/>
      <c r="L38" s="6"/>
      <c r="M38" s="6"/>
      <c r="N38" s="6"/>
      <c r="O38" s="6"/>
    </row>
    <row r="39" spans="2:15">
      <c r="B39" s="5">
        <v>25</v>
      </c>
      <c r="C39" s="6" t="s">
        <v>226</v>
      </c>
      <c r="D39" s="6" t="s">
        <v>238</v>
      </c>
      <c r="E39" s="6" t="s">
        <v>187</v>
      </c>
      <c r="F39" s="6" t="s">
        <v>230</v>
      </c>
      <c r="G39" s="6" t="s">
        <v>13</v>
      </c>
      <c r="H39" s="7" t="s">
        <v>209</v>
      </c>
      <c r="I39" s="5" t="s">
        <v>57</v>
      </c>
      <c r="J39" s="6"/>
      <c r="K39" s="8"/>
      <c r="L39" s="6"/>
      <c r="M39" s="6"/>
      <c r="N39" s="6"/>
      <c r="O39" s="6"/>
    </row>
    <row r="40" spans="2:15">
      <c r="B40" s="5">
        <v>26</v>
      </c>
      <c r="C40" s="6" t="s">
        <v>227</v>
      </c>
      <c r="D40" s="6" t="s">
        <v>238</v>
      </c>
      <c r="E40" s="6" t="s">
        <v>187</v>
      </c>
      <c r="F40" s="6" t="s">
        <v>230</v>
      </c>
      <c r="G40" s="6" t="s">
        <v>13</v>
      </c>
      <c r="H40" s="7" t="s">
        <v>209</v>
      </c>
      <c r="I40" s="5" t="s">
        <v>57</v>
      </c>
      <c r="J40" s="6"/>
      <c r="K40" s="8"/>
      <c r="L40" s="6"/>
      <c r="M40" s="6"/>
      <c r="N40" s="6"/>
      <c r="O40" s="6"/>
    </row>
    <row r="41" spans="2:15">
      <c r="B41" s="5">
        <v>27</v>
      </c>
      <c r="C41" s="6" t="s">
        <v>231</v>
      </c>
      <c r="D41" s="6" t="s">
        <v>238</v>
      </c>
      <c r="E41" s="6" t="s">
        <v>187</v>
      </c>
      <c r="F41" s="6" t="s">
        <v>230</v>
      </c>
      <c r="G41" s="6" t="s">
        <v>13</v>
      </c>
      <c r="H41" s="7" t="s">
        <v>209</v>
      </c>
      <c r="I41" s="5" t="s">
        <v>57</v>
      </c>
      <c r="J41" s="6"/>
      <c r="K41" s="8"/>
      <c r="L41" s="6"/>
      <c r="M41" s="6"/>
      <c r="N41" s="6"/>
      <c r="O41" s="6"/>
    </row>
    <row r="42" spans="2:15">
      <c r="B42" s="5">
        <v>28</v>
      </c>
      <c r="C42" s="6" t="s">
        <v>232</v>
      </c>
      <c r="D42" s="6" t="s">
        <v>238</v>
      </c>
      <c r="E42" s="6" t="s">
        <v>187</v>
      </c>
      <c r="F42" s="6" t="s">
        <v>230</v>
      </c>
      <c r="G42" s="6" t="s">
        <v>13</v>
      </c>
      <c r="H42" s="7" t="s">
        <v>209</v>
      </c>
      <c r="I42" s="5" t="s">
        <v>57</v>
      </c>
      <c r="J42" s="6"/>
      <c r="K42" s="8"/>
      <c r="L42" s="6"/>
      <c r="M42" s="6"/>
      <c r="N42" s="6"/>
      <c r="O42" s="6"/>
    </row>
    <row r="43" spans="2:15">
      <c r="B43" s="5">
        <v>29</v>
      </c>
      <c r="C43" s="6" t="s">
        <v>233</v>
      </c>
      <c r="D43" s="6" t="s">
        <v>238</v>
      </c>
      <c r="E43" s="6" t="s">
        <v>187</v>
      </c>
      <c r="F43" s="6" t="s">
        <v>230</v>
      </c>
      <c r="G43" s="6" t="s">
        <v>13</v>
      </c>
      <c r="H43" s="7" t="s">
        <v>209</v>
      </c>
      <c r="I43" s="5" t="s">
        <v>57</v>
      </c>
      <c r="J43" s="6"/>
      <c r="K43" s="8"/>
      <c r="L43" s="6"/>
      <c r="M43" s="6"/>
      <c r="N43" s="6"/>
      <c r="O43" s="6"/>
    </row>
    <row r="44" spans="2:15">
      <c r="B44" s="5">
        <v>30</v>
      </c>
      <c r="C44" s="6" t="s">
        <v>233</v>
      </c>
      <c r="D44" s="6" t="s">
        <v>238</v>
      </c>
      <c r="E44" s="6" t="s">
        <v>47</v>
      </c>
      <c r="F44" s="6" t="s">
        <v>13</v>
      </c>
      <c r="G44" s="6" t="s">
        <v>13</v>
      </c>
      <c r="H44" s="7" t="s">
        <v>234</v>
      </c>
      <c r="I44" s="5" t="s">
        <v>57</v>
      </c>
      <c r="J44" s="6"/>
      <c r="K44" s="8"/>
      <c r="L44" s="6"/>
      <c r="M44" s="6"/>
      <c r="N44" s="6"/>
      <c r="O44" s="6"/>
    </row>
    <row r="45" spans="2:15">
      <c r="B45" s="5">
        <v>31</v>
      </c>
      <c r="C45" s="6" t="s">
        <v>17</v>
      </c>
      <c r="D45" s="6" t="s">
        <v>239</v>
      </c>
      <c r="E45" s="6" t="s">
        <v>18</v>
      </c>
      <c r="F45" s="6" t="s">
        <v>13</v>
      </c>
      <c r="G45" s="6" t="s">
        <v>13</v>
      </c>
      <c r="H45" s="7" t="s">
        <v>235</v>
      </c>
      <c r="I45" s="5" t="s">
        <v>57</v>
      </c>
      <c r="J45" s="6"/>
      <c r="K45" s="8"/>
      <c r="L45" s="6"/>
      <c r="M45" s="6"/>
      <c r="N45" s="6"/>
      <c r="O45" s="6"/>
    </row>
    <row r="46" spans="2:15">
      <c r="B46" s="5">
        <v>32</v>
      </c>
      <c r="C46" s="6" t="s">
        <v>184</v>
      </c>
      <c r="D46" s="6" t="s">
        <v>239</v>
      </c>
      <c r="E46" s="6" t="s">
        <v>20</v>
      </c>
      <c r="F46" s="6" t="s">
        <v>13</v>
      </c>
      <c r="G46" s="6" t="s">
        <v>13</v>
      </c>
      <c r="H46" s="7" t="s">
        <v>236</v>
      </c>
      <c r="I46" s="5" t="s">
        <v>57</v>
      </c>
      <c r="J46" s="6"/>
      <c r="K46" s="8"/>
      <c r="L46" s="6"/>
      <c r="M46" s="6"/>
      <c r="N46" s="6"/>
      <c r="O46" s="6"/>
    </row>
    <row r="49" spans="2:15" ht="19.8">
      <c r="B49" s="11" t="s">
        <v>179</v>
      </c>
    </row>
    <row r="51" spans="2:15">
      <c r="B51" s="15" t="s">
        <v>70</v>
      </c>
      <c r="C51" s="16"/>
      <c r="D51" s="3">
        <f>定義!B87</f>
        <v>0</v>
      </c>
    </row>
    <row r="52" spans="2:15">
      <c r="B52" s="17" t="s">
        <v>73</v>
      </c>
      <c r="C52" s="18"/>
      <c r="D52" s="3">
        <f>COUNT($B62:$B68)</f>
        <v>7</v>
      </c>
    </row>
    <row r="53" spans="2:15">
      <c r="B53" s="19" t="s">
        <v>72</v>
      </c>
      <c r="C53" s="20"/>
      <c r="D53" s="13">
        <f xml:space="preserve"> D56 / COUNT($B62:$B68)</f>
        <v>0</v>
      </c>
    </row>
    <row r="54" spans="2:15">
      <c r="B54" s="19" t="s">
        <v>57</v>
      </c>
      <c r="C54" s="20"/>
      <c r="D54" s="12">
        <f>COUNTIF($I$62:$I$68,"未着手")</f>
        <v>7</v>
      </c>
    </row>
    <row r="55" spans="2:15">
      <c r="B55" s="19" t="s">
        <v>58</v>
      </c>
      <c r="C55" s="20"/>
      <c r="D55" s="12">
        <f>COUNTIF($I$62:$I$68,"進行中")</f>
        <v>0</v>
      </c>
    </row>
    <row r="56" spans="2:15">
      <c r="B56" s="19" t="s">
        <v>71</v>
      </c>
      <c r="C56" s="20"/>
      <c r="D56" s="12">
        <f>COUNTIF($I$62:$I$68,"確認完了")</f>
        <v>0</v>
      </c>
    </row>
    <row r="57" spans="2:15">
      <c r="B57" s="19" t="s">
        <v>60</v>
      </c>
      <c r="C57" s="20"/>
      <c r="D57" s="12">
        <f>COUNTIF($I$62:$I$68,"確認不可")</f>
        <v>0</v>
      </c>
    </row>
    <row r="58" spans="2:15">
      <c r="B58" s="19" t="s">
        <v>61</v>
      </c>
      <c r="C58" s="20"/>
      <c r="D58" s="12">
        <f>COUNTIF($I$62:$I$68,"NG")</f>
        <v>0</v>
      </c>
    </row>
    <row r="60" spans="2:15">
      <c r="B60" s="14" t="s">
        <v>0</v>
      </c>
      <c r="C60" s="17" t="s">
        <v>1</v>
      </c>
      <c r="D60" s="25"/>
      <c r="E60" s="25"/>
      <c r="F60" s="25"/>
      <c r="G60" s="25"/>
      <c r="H60" s="18"/>
      <c r="I60" s="22" t="s">
        <v>51</v>
      </c>
      <c r="J60" s="14" t="s">
        <v>5</v>
      </c>
      <c r="K60" s="24" t="s">
        <v>2</v>
      </c>
      <c r="L60" s="14" t="s">
        <v>6</v>
      </c>
      <c r="M60" s="14" t="s">
        <v>3</v>
      </c>
      <c r="N60" s="14" t="s">
        <v>4</v>
      </c>
      <c r="O60" s="14" t="s">
        <v>7</v>
      </c>
    </row>
    <row r="61" spans="2:15">
      <c r="B61" s="14"/>
      <c r="C61" s="1" t="s">
        <v>8</v>
      </c>
      <c r="D61" s="1" t="s">
        <v>237</v>
      </c>
      <c r="E61" s="1" t="s">
        <v>9</v>
      </c>
      <c r="F61" s="1" t="s">
        <v>10</v>
      </c>
      <c r="G61" s="1" t="s">
        <v>11</v>
      </c>
      <c r="H61" s="2" t="s">
        <v>14</v>
      </c>
      <c r="I61" s="23"/>
      <c r="J61" s="14"/>
      <c r="K61" s="24"/>
      <c r="L61" s="14"/>
      <c r="M61" s="14"/>
      <c r="N61" s="14"/>
      <c r="O61" s="14"/>
    </row>
    <row r="62" spans="2:15">
      <c r="B62" s="5">
        <v>1</v>
      </c>
      <c r="C62" s="6" t="s">
        <v>76</v>
      </c>
      <c r="D62" s="6"/>
      <c r="E62" s="6" t="s">
        <v>12</v>
      </c>
      <c r="F62" s="6" t="s">
        <v>93</v>
      </c>
      <c r="G62" s="6" t="s">
        <v>93</v>
      </c>
      <c r="H62" s="7" t="s">
        <v>95</v>
      </c>
      <c r="I62" s="5" t="s">
        <v>57</v>
      </c>
      <c r="J62" s="6"/>
      <c r="K62" s="8"/>
      <c r="L62" s="6"/>
      <c r="M62" s="6"/>
      <c r="N62" s="6"/>
      <c r="O62" s="6"/>
    </row>
    <row r="63" spans="2:15">
      <c r="B63" s="5">
        <v>2</v>
      </c>
      <c r="C63" s="6" t="s">
        <v>181</v>
      </c>
      <c r="D63" s="6"/>
      <c r="E63" s="6" t="s">
        <v>185</v>
      </c>
      <c r="F63" s="6" t="s">
        <v>13</v>
      </c>
      <c r="G63" s="6" t="s">
        <v>13</v>
      </c>
      <c r="H63" s="9" t="s">
        <v>95</v>
      </c>
      <c r="I63" s="5" t="s">
        <v>57</v>
      </c>
      <c r="J63" s="6"/>
      <c r="K63" s="8"/>
      <c r="L63" s="6"/>
      <c r="M63" s="6"/>
      <c r="N63" s="6"/>
      <c r="O63" s="6"/>
    </row>
    <row r="64" spans="2:15">
      <c r="B64" s="5">
        <v>3</v>
      </c>
      <c r="C64" s="6" t="s">
        <v>186</v>
      </c>
      <c r="D64" s="6"/>
      <c r="E64" s="6" t="s">
        <v>187</v>
      </c>
      <c r="F64" s="6" t="s">
        <v>13</v>
      </c>
      <c r="G64" s="6" t="s">
        <v>13</v>
      </c>
      <c r="H64" s="7" t="s">
        <v>188</v>
      </c>
      <c r="I64" s="5" t="s">
        <v>57</v>
      </c>
      <c r="J64" s="6"/>
      <c r="K64" s="8"/>
      <c r="L64" s="6"/>
      <c r="M64" s="6"/>
      <c r="N64" s="6"/>
      <c r="O64" s="6"/>
    </row>
    <row r="65" spans="2:15">
      <c r="B65" s="5">
        <v>4</v>
      </c>
      <c r="C65" s="6" t="s">
        <v>182</v>
      </c>
      <c r="D65" s="6"/>
      <c r="E65" s="6" t="s">
        <v>187</v>
      </c>
      <c r="F65" s="6" t="s">
        <v>13</v>
      </c>
      <c r="G65" s="6" t="s">
        <v>13</v>
      </c>
      <c r="H65" s="7" t="s">
        <v>189</v>
      </c>
      <c r="I65" s="5" t="s">
        <v>57</v>
      </c>
      <c r="J65" s="6"/>
      <c r="K65" s="8"/>
      <c r="L65" s="6"/>
      <c r="M65" s="6"/>
      <c r="N65" s="6"/>
      <c r="O65" s="6"/>
    </row>
    <row r="66" spans="2:15">
      <c r="B66" s="5">
        <v>5</v>
      </c>
      <c r="C66" s="6" t="s">
        <v>183</v>
      </c>
      <c r="D66" s="6"/>
      <c r="E66" s="6" t="s">
        <v>187</v>
      </c>
      <c r="F66" s="6" t="s">
        <v>13</v>
      </c>
      <c r="G66" s="6" t="s">
        <v>13</v>
      </c>
      <c r="H66" s="7" t="s">
        <v>190</v>
      </c>
      <c r="I66" s="5" t="s">
        <v>57</v>
      </c>
      <c r="J66" s="6"/>
      <c r="K66" s="8"/>
      <c r="L66" s="6"/>
      <c r="M66" s="6"/>
      <c r="N66" s="6"/>
      <c r="O66" s="6"/>
    </row>
    <row r="67" spans="2:15">
      <c r="B67" s="5">
        <v>6</v>
      </c>
      <c r="C67" s="6" t="s">
        <v>17</v>
      </c>
      <c r="D67" s="6"/>
      <c r="E67" s="6" t="s">
        <v>18</v>
      </c>
      <c r="F67" s="6" t="s">
        <v>13</v>
      </c>
      <c r="G67" s="6" t="s">
        <v>13</v>
      </c>
      <c r="H67" s="7" t="s">
        <v>191</v>
      </c>
      <c r="I67" s="5" t="s">
        <v>57</v>
      </c>
      <c r="J67" s="6"/>
      <c r="K67" s="8"/>
      <c r="L67" s="6"/>
      <c r="M67" s="6"/>
      <c r="N67" s="6"/>
      <c r="O67" s="6"/>
    </row>
    <row r="68" spans="2:15">
      <c r="B68" s="5">
        <v>7</v>
      </c>
      <c r="C68" s="6" t="s">
        <v>184</v>
      </c>
      <c r="D68" s="6"/>
      <c r="E68" s="6" t="s">
        <v>20</v>
      </c>
      <c r="F68" s="6" t="s">
        <v>13</v>
      </c>
      <c r="G68" s="6" t="s">
        <v>13</v>
      </c>
      <c r="H68" s="7" t="s">
        <v>192</v>
      </c>
      <c r="I68" s="5" t="s">
        <v>57</v>
      </c>
      <c r="J68" s="6"/>
      <c r="K68" s="8"/>
      <c r="L68" s="6"/>
      <c r="M68" s="6"/>
      <c r="N68" s="6"/>
      <c r="O68" s="6"/>
    </row>
  </sheetData>
  <mergeCells count="34">
    <mergeCell ref="B9:C9"/>
    <mergeCell ref="B4:C4"/>
    <mergeCell ref="B5:C5"/>
    <mergeCell ref="B6:C6"/>
    <mergeCell ref="B7:C7"/>
    <mergeCell ref="B8:C8"/>
    <mergeCell ref="O13:O14"/>
    <mergeCell ref="B51:C51"/>
    <mergeCell ref="B10:C10"/>
    <mergeCell ref="B11:C11"/>
    <mergeCell ref="B13:B14"/>
    <mergeCell ref="I13:I14"/>
    <mergeCell ref="J13:J14"/>
    <mergeCell ref="B57:C57"/>
    <mergeCell ref="K13:K14"/>
    <mergeCell ref="L13:L14"/>
    <mergeCell ref="M13:M14"/>
    <mergeCell ref="N13:N14"/>
    <mergeCell ref="L60:L61"/>
    <mergeCell ref="M60:M61"/>
    <mergeCell ref="N60:N61"/>
    <mergeCell ref="O60:O61"/>
    <mergeCell ref="C13:H13"/>
    <mergeCell ref="C60:H60"/>
    <mergeCell ref="B58:C58"/>
    <mergeCell ref="B60:B61"/>
    <mergeCell ref="I60:I61"/>
    <mergeCell ref="J60:J61"/>
    <mergeCell ref="K60:K61"/>
    <mergeCell ref="B52:C52"/>
    <mergeCell ref="B53:C53"/>
    <mergeCell ref="B54:C54"/>
    <mergeCell ref="B55:C55"/>
    <mergeCell ref="B56:C56"/>
  </mergeCells>
  <phoneticPr fontId="1"/>
  <conditionalFormatting sqref="I15:I46">
    <cfRule type="expression" dxfId="7" priority="9">
      <formula>$I15="進行中"</formula>
    </cfRule>
  </conditionalFormatting>
  <conditionalFormatting sqref="I62:I68">
    <cfRule type="expression" dxfId="6" priority="5">
      <formula>$I62="進行中"</formula>
    </cfRule>
  </conditionalFormatting>
  <conditionalFormatting sqref="I15:O46">
    <cfRule type="expression" dxfId="5" priority="10">
      <formula>$I15="NG"</formula>
    </cfRule>
    <cfRule type="expression" dxfId="4" priority="11">
      <formula>$I15="確認不可"</formula>
    </cfRule>
    <cfRule type="expression" dxfId="3" priority="12">
      <formula>$I15="確認完了"</formula>
    </cfRule>
  </conditionalFormatting>
  <conditionalFormatting sqref="I62:O68">
    <cfRule type="expression" dxfId="2" priority="6">
      <formula>$I62="NG"</formula>
    </cfRule>
    <cfRule type="expression" dxfId="1" priority="7">
      <formula>$I62="確認不可"</formula>
    </cfRule>
    <cfRule type="expression" dxfId="0" priority="8">
      <formula>$I62="確認完了"</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EE6955F-61B5-4EC3-B80E-3D789F51F091}">
          <x14:formula1>
            <xm:f>定義!$D$1:$D$5</xm:f>
          </x14:formula1>
          <xm:sqref>I62:I68 I15:I46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CB69C-9A71-41D8-97EF-A09E74209CE9}">
  <dimension ref="A1:E5"/>
  <sheetViews>
    <sheetView workbookViewId="0">
      <selection activeCell="B4" sqref="B4"/>
    </sheetView>
  </sheetViews>
  <sheetFormatPr defaultRowHeight="18"/>
  <sheetData>
    <row r="1" spans="1:5">
      <c r="A1" t="s">
        <v>52</v>
      </c>
      <c r="D1" t="s">
        <v>57</v>
      </c>
      <c r="E1" t="s">
        <v>62</v>
      </c>
    </row>
    <row r="2" spans="1:5">
      <c r="A2" t="s">
        <v>53</v>
      </c>
      <c r="B2" t="s">
        <v>54</v>
      </c>
      <c r="D2" t="s">
        <v>58</v>
      </c>
      <c r="E2" t="s">
        <v>63</v>
      </c>
    </row>
    <row r="3" spans="1:5">
      <c r="A3" t="s">
        <v>55</v>
      </c>
      <c r="B3" t="s">
        <v>56</v>
      </c>
      <c r="D3" t="s">
        <v>59</v>
      </c>
      <c r="E3" t="s">
        <v>66</v>
      </c>
    </row>
    <row r="4" spans="1:5">
      <c r="A4" t="s">
        <v>68</v>
      </c>
      <c r="B4" t="s">
        <v>69</v>
      </c>
      <c r="D4" t="s">
        <v>60</v>
      </c>
      <c r="E4" t="s">
        <v>64</v>
      </c>
    </row>
    <row r="5" spans="1:5">
      <c r="D5" t="s">
        <v>61</v>
      </c>
      <c r="E5" t="s">
        <v>65</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管理者_ログイン画面</vt:lpstr>
      <vt:lpstr>管理者_新規ユーザー作成画面</vt:lpstr>
      <vt:lpstr>管理者_アカウント作成送信メール</vt:lpstr>
      <vt:lpstr>管理者_ホーム画面</vt:lpstr>
      <vt:lpstr>定義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智之青木</dc:creator>
  <cp:lastModifiedBy>青木 智之</cp:lastModifiedBy>
  <cp:lastPrinted>2025-08-26T21:48:05Z</cp:lastPrinted>
  <dcterms:created xsi:type="dcterms:W3CDTF">2015-06-05T18:19:34Z</dcterms:created>
  <dcterms:modified xsi:type="dcterms:W3CDTF">2025-09-25T13:48:16Z</dcterms:modified>
</cp:coreProperties>
</file>