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aokib\Desktop\Files\りざっと\チェックリスト\"/>
    </mc:Choice>
  </mc:AlternateContent>
  <xr:revisionPtr revIDLastSave="0" documentId="13_ncr:1_{1FD01CAF-6BC4-47AF-8DDE-2FF3446786B3}" xr6:coauthVersionLast="47" xr6:coauthVersionMax="47" xr10:uidLastSave="{00000000-0000-0000-0000-000000000000}"/>
  <bookViews>
    <workbookView xWindow="-108" yWindow="-108" windowWidth="23256" windowHeight="12456" xr2:uid="{00000000-000D-0000-FFFF-FFFF00000000}"/>
  </bookViews>
  <sheets>
    <sheet name="管理者_ログイン画面" sheetId="1" r:id="rId1"/>
    <sheet name="定義"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0" i="1" l="1"/>
  <c r="D79" i="1"/>
  <c r="D78" i="1"/>
  <c r="D75" i="1" s="1"/>
  <c r="D77" i="1"/>
  <c r="D76" i="1"/>
  <c r="D7" i="1"/>
  <c r="D74" i="1"/>
  <c r="D5" i="1"/>
  <c r="D73" i="1"/>
  <c r="D4" i="1"/>
  <c r="D11" i="1"/>
  <c r="D10" i="1"/>
  <c r="D9" i="1"/>
  <c r="D6" i="1" s="1"/>
  <c r="D8" i="1"/>
</calcChain>
</file>

<file path=xl/sharedStrings.xml><?xml version="1.0" encoding="utf-8"?>
<sst xmlns="http://schemas.openxmlformats.org/spreadsheetml/2006/main" count="436" uniqueCount="96">
  <si>
    <t>項番</t>
  </si>
  <si>
    <t>確認内容</t>
  </si>
  <si>
    <t>確認日</t>
  </si>
  <si>
    <t>端末</t>
  </si>
  <si>
    <t>ブラウザ</t>
  </si>
  <si>
    <t>確認ver</t>
  </si>
  <si>
    <t>確認者</t>
  </si>
  <si>
    <t>備考</t>
  </si>
  <si>
    <t>期待値</t>
    <rPh sb="0" eb="3">
      <t>キタイチ</t>
    </rPh>
    <phoneticPr fontId="1"/>
  </si>
  <si>
    <t>ログイン方法</t>
    <rPh sb="4" eb="6">
      <t>ホウホウ</t>
    </rPh>
    <phoneticPr fontId="1"/>
  </si>
  <si>
    <t>ユーザーID</t>
    <phoneticPr fontId="1"/>
  </si>
  <si>
    <t>メールアドレス</t>
    <phoneticPr fontId="1"/>
  </si>
  <si>
    <t>ログイン</t>
    <phoneticPr fontId="1"/>
  </si>
  <si>
    <t>アカウント作成リンク</t>
    <rPh sb="5" eb="7">
      <t>サクセイ</t>
    </rPh>
    <phoneticPr fontId="1"/>
  </si>
  <si>
    <t>確認結果</t>
    <rPh sb="0" eb="2">
      <t>カクニン</t>
    </rPh>
    <rPh sb="2" eb="4">
      <t>ケッカ</t>
    </rPh>
    <phoneticPr fontId="1"/>
  </si>
  <si>
    <t>定義リスト</t>
    <rPh sb="0" eb="2">
      <t>テイギ</t>
    </rPh>
    <phoneticPr fontId="1"/>
  </si>
  <si>
    <t>項目</t>
    <rPh sb="0" eb="2">
      <t>コウモク</t>
    </rPh>
    <phoneticPr fontId="1"/>
  </si>
  <si>
    <t>内容</t>
    <rPh sb="0" eb="2">
      <t>ナイヨウ</t>
    </rPh>
    <phoneticPr fontId="1"/>
  </si>
  <si>
    <t>アプリケーション名</t>
    <rPh sb="8" eb="9">
      <t>メイ</t>
    </rPh>
    <phoneticPr fontId="1"/>
  </si>
  <si>
    <t>Grobe</t>
    <phoneticPr fontId="1"/>
  </si>
  <si>
    <t>未着手</t>
    <rPh sb="0" eb="3">
      <t>ミチャクシュ</t>
    </rPh>
    <phoneticPr fontId="1"/>
  </si>
  <si>
    <t>進行中</t>
    <rPh sb="0" eb="3">
      <t>シンコウチュウ</t>
    </rPh>
    <phoneticPr fontId="1"/>
  </si>
  <si>
    <t>確認完了</t>
    <rPh sb="0" eb="2">
      <t>カクニン</t>
    </rPh>
    <rPh sb="2" eb="4">
      <t>カンリョウ</t>
    </rPh>
    <phoneticPr fontId="1"/>
  </si>
  <si>
    <t>確認不可</t>
    <rPh sb="0" eb="4">
      <t>カクニンフカ</t>
    </rPh>
    <phoneticPr fontId="1"/>
  </si>
  <si>
    <t>NG</t>
    <phoneticPr fontId="1"/>
  </si>
  <si>
    <t>chrome</t>
    <phoneticPr fontId="1"/>
  </si>
  <si>
    <t>safari</t>
    <phoneticPr fontId="1"/>
  </si>
  <si>
    <t>Edge</t>
    <phoneticPr fontId="1"/>
  </si>
  <si>
    <t>Brave</t>
    <phoneticPr fontId="1"/>
  </si>
  <si>
    <t>Firefox</t>
    <phoneticPr fontId="1"/>
  </si>
  <si>
    <t>【PC】管理者_ログイン画面</t>
    <rPh sb="4" eb="7">
      <t>カンリシャ</t>
    </rPh>
    <rPh sb="12" eb="14">
      <t>ガメン</t>
    </rPh>
    <phoneticPr fontId="1"/>
  </si>
  <si>
    <t>ver</t>
    <phoneticPr fontId="1"/>
  </si>
  <si>
    <t>1.0.4</t>
    <phoneticPr fontId="1"/>
  </si>
  <si>
    <t>項目作成時アプリバージョン</t>
    <rPh sb="0" eb="2">
      <t>コウモク</t>
    </rPh>
    <rPh sb="2" eb="4">
      <t>サクセイ</t>
    </rPh>
    <rPh sb="4" eb="5">
      <t>ジ</t>
    </rPh>
    <phoneticPr fontId="1"/>
  </si>
  <si>
    <t>確認完了</t>
    <rPh sb="0" eb="4">
      <t>カクニンカンリョウ</t>
    </rPh>
    <phoneticPr fontId="1"/>
  </si>
  <si>
    <t>達成率</t>
    <rPh sb="0" eb="3">
      <t>タッセイリツ</t>
    </rPh>
    <phoneticPr fontId="1"/>
  </si>
  <si>
    <t>総項目数</t>
    <rPh sb="0" eb="4">
      <t>ソウコウモクスウ</t>
    </rPh>
    <phoneticPr fontId="1"/>
  </si>
  <si>
    <t>【mobile】管理者_ログイン画面</t>
    <rPh sb="8" eb="11">
      <t>カンリシャ</t>
    </rPh>
    <rPh sb="16" eb="18">
      <t>ガメン</t>
    </rPh>
    <phoneticPr fontId="1"/>
  </si>
  <si>
    <t>大分類</t>
    <rPh sb="0" eb="3">
      <t>ダイブンルイ</t>
    </rPh>
    <phoneticPr fontId="1"/>
  </si>
  <si>
    <t>中分類</t>
    <rPh sb="0" eb="3">
      <t>チュウブンルイ</t>
    </rPh>
    <phoneticPr fontId="1"/>
  </si>
  <si>
    <t>小分類</t>
    <rPh sb="0" eb="3">
      <t>ショウブンルイ</t>
    </rPh>
    <phoneticPr fontId="1"/>
  </si>
  <si>
    <t>手順</t>
    <rPh sb="0" eb="2">
      <t>テジュン</t>
    </rPh>
    <phoneticPr fontId="1"/>
  </si>
  <si>
    <t>入力確認</t>
    <rPh sb="0" eb="4">
      <t>ニュウリョクカクニン</t>
    </rPh>
    <phoneticPr fontId="1"/>
  </si>
  <si>
    <t>押下</t>
    <rPh sb="0" eb="2">
      <t>オウカ</t>
    </rPh>
    <phoneticPr fontId="1"/>
  </si>
  <si>
    <t>ログイン方法のプルダウンを押下</t>
    <rPh sb="4" eb="6">
      <t>ホウホウ</t>
    </rPh>
    <rPh sb="13" eb="15">
      <t>オウカ</t>
    </rPh>
    <phoneticPr fontId="1"/>
  </si>
  <si>
    <t>ログイン方法に対応するオプションが表示されること</t>
    <rPh sb="4" eb="6">
      <t>ホウホウ</t>
    </rPh>
    <rPh sb="7" eb="9">
      <t>タイオウ</t>
    </rPh>
    <rPh sb="17" eb="19">
      <t>ヒョウジ</t>
    </rPh>
    <phoneticPr fontId="1"/>
  </si>
  <si>
    <t>選択</t>
    <rPh sb="0" eb="2">
      <t>センタク</t>
    </rPh>
    <phoneticPr fontId="1"/>
  </si>
  <si>
    <t>任意のオプション項目を押下</t>
    <rPh sb="0" eb="2">
      <t>ニンイ</t>
    </rPh>
    <rPh sb="8" eb="10">
      <t>コウモク</t>
    </rPh>
    <rPh sb="11" eb="13">
      <t>オウカ</t>
    </rPh>
    <phoneticPr fontId="1"/>
  </si>
  <si>
    <t>押下したオプション項目が選択状態になること</t>
    <rPh sb="0" eb="2">
      <t>オウカ</t>
    </rPh>
    <rPh sb="9" eb="11">
      <t>コウモク</t>
    </rPh>
    <rPh sb="12" eb="16">
      <t>センタクジョウタイ</t>
    </rPh>
    <phoneticPr fontId="1"/>
  </si>
  <si>
    <t>オプション表示ダイアログが閉じられること</t>
    <rPh sb="5" eb="7">
      <t>ヒョウジ</t>
    </rPh>
    <rPh sb="13" eb="14">
      <t>ト</t>
    </rPh>
    <phoneticPr fontId="1"/>
  </si>
  <si>
    <t>キャンセル</t>
  </si>
  <si>
    <t>キャンセル</t>
    <phoneticPr fontId="1"/>
  </si>
  <si>
    <t>オプション表示中に「ESC」ボタンを押下</t>
    <rPh sb="5" eb="8">
      <t>ヒョウジチュウ</t>
    </rPh>
    <rPh sb="18" eb="20">
      <t>オウカ</t>
    </rPh>
    <phoneticPr fontId="1"/>
  </si>
  <si>
    <t>オプション表示中に画面上のオプション表示ダイアログ以外の任意の箇所を押下</t>
    <rPh sb="5" eb="8">
      <t>ヒョウジチュウ</t>
    </rPh>
    <rPh sb="9" eb="11">
      <t>ガメン</t>
    </rPh>
    <rPh sb="11" eb="12">
      <t>ジョウ</t>
    </rPh>
    <rPh sb="18" eb="20">
      <t>ヒョウジ</t>
    </rPh>
    <rPh sb="25" eb="27">
      <t>イガイ</t>
    </rPh>
    <rPh sb="28" eb="30">
      <t>ニンイ</t>
    </rPh>
    <rPh sb="31" eb="33">
      <t>カショ</t>
    </rPh>
    <rPh sb="34" eb="36">
      <t>オウカ</t>
    </rPh>
    <phoneticPr fontId="1"/>
  </si>
  <si>
    <t>ユーザーID入力欄を押下</t>
    <rPh sb="6" eb="9">
      <t>ニュウリョクラン</t>
    </rPh>
    <rPh sb="10" eb="12">
      <t>オウカ</t>
    </rPh>
    <phoneticPr fontId="1"/>
  </si>
  <si>
    <t>文字入力可能な状態になること</t>
    <rPh sb="0" eb="4">
      <t>モジニュウリョク</t>
    </rPh>
    <rPh sb="4" eb="6">
      <t>カノウ</t>
    </rPh>
    <rPh sb="7" eb="9">
      <t>ジョウタイ</t>
    </rPh>
    <phoneticPr fontId="1"/>
  </si>
  <si>
    <t>入力</t>
    <rPh sb="0" eb="2">
      <t>ニュウリョク</t>
    </rPh>
    <phoneticPr fontId="1"/>
  </si>
  <si>
    <t>入力した文字が入力欄内に表示されること</t>
    <rPh sb="0" eb="2">
      <t>ニュウリョク</t>
    </rPh>
    <rPh sb="4" eb="6">
      <t>モジ</t>
    </rPh>
    <rPh sb="7" eb="10">
      <t>ニュウリョクラン</t>
    </rPh>
    <rPh sb="10" eb="11">
      <t>ナイ</t>
    </rPh>
    <rPh sb="12" eb="14">
      <t>ヒョウジ</t>
    </rPh>
    <phoneticPr fontId="1"/>
  </si>
  <si>
    <t>全角「あいうえお」を入力</t>
    <rPh sb="0" eb="2">
      <t>ゼンカク</t>
    </rPh>
    <rPh sb="10" eb="12">
      <t>ニュウリョク</t>
    </rPh>
    <phoneticPr fontId="1"/>
  </si>
  <si>
    <t>全角「アイウエオ」を入力</t>
    <rPh sb="0" eb="2">
      <t>ゼンカク</t>
    </rPh>
    <rPh sb="10" eb="12">
      <t>ニュウリョク</t>
    </rPh>
    <phoneticPr fontId="1"/>
  </si>
  <si>
    <t>半角「ｱｲｳｴｵ」を入力</t>
    <rPh sb="0" eb="2">
      <t>ハンカク</t>
    </rPh>
    <rPh sb="10" eb="12">
      <t>ニュウリョク</t>
    </rPh>
    <phoneticPr fontId="1"/>
  </si>
  <si>
    <t>全角「ａｂｃｄｅ」を入力</t>
    <rPh sb="0" eb="2">
      <t>ゼンカク</t>
    </rPh>
    <rPh sb="10" eb="12">
      <t>ニュウリョク</t>
    </rPh>
    <phoneticPr fontId="1"/>
  </si>
  <si>
    <t>半角「abcde」を入力</t>
    <rPh sb="0" eb="2">
      <t>ハンカク</t>
    </rPh>
    <rPh sb="10" eb="12">
      <t>ニュウリョク</t>
    </rPh>
    <phoneticPr fontId="1"/>
  </si>
  <si>
    <t>全角「０００００」を入力</t>
    <rPh sb="0" eb="2">
      <t>ゼンカク</t>
    </rPh>
    <rPh sb="10" eb="12">
      <t>ニュウリョク</t>
    </rPh>
    <phoneticPr fontId="1"/>
  </si>
  <si>
    <t>半角「00000」を入力</t>
    <rPh sb="0" eb="2">
      <t>ハンカク</t>
    </rPh>
    <rPh sb="10" eb="12">
      <t>ニュウリョク</t>
    </rPh>
    <phoneticPr fontId="1"/>
  </si>
  <si>
    <t>30字以上の半角文字列を入力</t>
    <rPh sb="2" eb="3">
      <t>ジ</t>
    </rPh>
    <rPh sb="3" eb="5">
      <t>イジョウ</t>
    </rPh>
    <rPh sb="6" eb="8">
      <t>ハンカク</t>
    </rPh>
    <rPh sb="8" eb="11">
      <t>モジレツ</t>
    </rPh>
    <rPh sb="12" eb="14">
      <t>ニュウリョク</t>
    </rPh>
    <phoneticPr fontId="1"/>
  </si>
  <si>
    <t>30字以上の全角文字列を入力</t>
    <rPh sb="2" eb="3">
      <t>ジ</t>
    </rPh>
    <rPh sb="3" eb="5">
      <t>イジョウ</t>
    </rPh>
    <rPh sb="6" eb="8">
      <t>ゼンカク</t>
    </rPh>
    <rPh sb="8" eb="11">
      <t>モジレツ</t>
    </rPh>
    <rPh sb="12" eb="14">
      <t>ニュウリョク</t>
    </rPh>
    <phoneticPr fontId="1"/>
  </si>
  <si>
    <t>入力した文字列が正しく表示されないこと</t>
    <rPh sb="0" eb="2">
      <t>ニュウリョク</t>
    </rPh>
    <rPh sb="4" eb="7">
      <t>モジレツ</t>
    </rPh>
    <rPh sb="8" eb="9">
      <t>タダ</t>
    </rPh>
    <rPh sb="11" eb="13">
      <t>ヒョウジ</t>
    </rPh>
    <phoneticPr fontId="1"/>
  </si>
  <si>
    <t>削除</t>
    <rPh sb="0" eb="2">
      <t>サクジョ</t>
    </rPh>
    <phoneticPr fontId="1"/>
  </si>
  <si>
    <t>「backspace」押下分だけ、入力文字が削除されること</t>
    <rPh sb="11" eb="14">
      <t>オウカブン</t>
    </rPh>
    <rPh sb="17" eb="19">
      <t>ニュウリョク</t>
    </rPh>
    <rPh sb="19" eb="21">
      <t>モジ</t>
    </rPh>
    <rPh sb="22" eb="24">
      <t>サクジョ</t>
    </rPh>
    <phoneticPr fontId="1"/>
  </si>
  <si>
    <t>1. 半角「abcde」を入力
2. 「backspace」で文字削除を試みる</t>
    <rPh sb="3" eb="5">
      <t>ハンカク</t>
    </rPh>
    <rPh sb="13" eb="15">
      <t>ニュウリョク</t>
    </rPh>
    <rPh sb="31" eb="35">
      <t>モジサクジョ</t>
    </rPh>
    <rPh sb="36" eb="37">
      <t>ココロ</t>
    </rPh>
    <phoneticPr fontId="1"/>
  </si>
  <si>
    <t>メールアドレス入力欄を押下</t>
    <rPh sb="7" eb="10">
      <t>ニュウリョクラン</t>
    </rPh>
    <rPh sb="11" eb="13">
      <t>オウカ</t>
    </rPh>
    <phoneticPr fontId="1"/>
  </si>
  <si>
    <t>入力した文字が入力欄内に隠し文字で表示されること</t>
    <rPh sb="0" eb="2">
      <t>ニュウリョク</t>
    </rPh>
    <rPh sb="4" eb="6">
      <t>モジ</t>
    </rPh>
    <rPh sb="7" eb="10">
      <t>ニュウリョクラン</t>
    </rPh>
    <rPh sb="10" eb="11">
      <t>ナイ</t>
    </rPh>
    <rPh sb="12" eb="13">
      <t>カク</t>
    </rPh>
    <rPh sb="14" eb="16">
      <t>モジ</t>
    </rPh>
    <rPh sb="17" eb="19">
      <t>ヒョウジ</t>
    </rPh>
    <phoneticPr fontId="1"/>
  </si>
  <si>
    <t>入力した文字列が正しく表示されないこと（隠し文字）</t>
    <rPh sb="0" eb="2">
      <t>ニュウリョク</t>
    </rPh>
    <rPh sb="4" eb="7">
      <t>モジレツ</t>
    </rPh>
    <rPh sb="8" eb="9">
      <t>タダ</t>
    </rPh>
    <rPh sb="11" eb="13">
      <t>ヒョウジ</t>
    </rPh>
    <rPh sb="20" eb="21">
      <t>カク</t>
    </rPh>
    <rPh sb="22" eb="24">
      <t>モジ</t>
    </rPh>
    <phoneticPr fontId="1"/>
  </si>
  <si>
    <t>パスポート</t>
    <phoneticPr fontId="1"/>
  </si>
  <si>
    <t>パスポート入力欄を押下</t>
    <rPh sb="5" eb="8">
      <t>ニュウリョクラン</t>
    </rPh>
    <rPh sb="9" eb="11">
      <t>オウカ</t>
    </rPh>
    <phoneticPr fontId="1"/>
  </si>
  <si>
    <t>遷移確認</t>
    <rPh sb="0" eb="2">
      <t>センイ</t>
    </rPh>
    <rPh sb="2" eb="4">
      <t>カクニン</t>
    </rPh>
    <phoneticPr fontId="1"/>
  </si>
  <si>
    <t>1. 作成済みユーザーのユーザーIDとパスワードを入力し、「ログイン」ボタンを押下</t>
    <rPh sb="3" eb="5">
      <t>サクセイ</t>
    </rPh>
    <rPh sb="5" eb="6">
      <t>ズ</t>
    </rPh>
    <rPh sb="25" eb="27">
      <t>ニュウリョク</t>
    </rPh>
    <rPh sb="39" eb="41">
      <t>オウカ</t>
    </rPh>
    <phoneticPr fontId="1"/>
  </si>
  <si>
    <t>ホーム画面に遷移すること</t>
    <rPh sb="3" eb="5">
      <t>ガメン</t>
    </rPh>
    <rPh sb="6" eb="8">
      <t>センイ</t>
    </rPh>
    <phoneticPr fontId="1"/>
  </si>
  <si>
    <t>1. 作成済みユーザーのユーザーID、存在しないパスワードを入力し、「ログイン」ボタンを押下</t>
    <rPh sb="3" eb="6">
      <t>サクセイズ</t>
    </rPh>
    <rPh sb="19" eb="21">
      <t>ソンザイ</t>
    </rPh>
    <rPh sb="30" eb="32">
      <t>ニュウリョク</t>
    </rPh>
    <rPh sb="44" eb="46">
      <t>オウカ</t>
    </rPh>
    <phoneticPr fontId="1"/>
  </si>
  <si>
    <t>画面遷移しないこと</t>
    <rPh sb="0" eb="4">
      <t>ガメンセンイ</t>
    </rPh>
    <phoneticPr fontId="1"/>
  </si>
  <si>
    <t>1. 存在しないユーザーID、作成済みユーザーのパスワードを入力し、「ログイン」ボタンを押下</t>
    <rPh sb="15" eb="17">
      <t>サクセイ</t>
    </rPh>
    <rPh sb="17" eb="18">
      <t>ズ</t>
    </rPh>
    <rPh sb="30" eb="32">
      <t>ニュウリョク</t>
    </rPh>
    <rPh sb="44" eb="46">
      <t>オウカ</t>
    </rPh>
    <phoneticPr fontId="1"/>
  </si>
  <si>
    <t>1. 下記条件を満たすユーザーアカウントを作成する
　ユーザーID：テスト1234
　メールアドレス：test@mail.com
　パスワード：test1234
2. 手順1で作成したユーザーのユーザーIDとパスワードを入力し、「ログイン」ボタンを押下</t>
    <rPh sb="3" eb="5">
      <t>カキ</t>
    </rPh>
    <rPh sb="5" eb="7">
      <t>ジョウケン</t>
    </rPh>
    <rPh sb="8" eb="9">
      <t>ミ</t>
    </rPh>
    <rPh sb="21" eb="23">
      <t>サクセイ</t>
    </rPh>
    <rPh sb="84" eb="86">
      <t>テジュン</t>
    </rPh>
    <rPh sb="88" eb="90">
      <t>サクセイ</t>
    </rPh>
    <rPh sb="110" eb="112">
      <t>ニュウリョク</t>
    </rPh>
    <rPh sb="124" eb="126">
      <t>オウカ</t>
    </rPh>
    <phoneticPr fontId="1"/>
  </si>
  <si>
    <t>1. 下記条件を満たすユーザーアカウントを作成する
　ユーザーID：test1234
　メールアドレス：testmail.com
　パスワード：test1234
2. 手順1で作成したユーザーのメールアドレスとパスワードを入力し、「ログイン」ボタンを押下</t>
    <rPh sb="3" eb="5">
      <t>カキ</t>
    </rPh>
    <rPh sb="5" eb="7">
      <t>ジョウケン</t>
    </rPh>
    <rPh sb="8" eb="9">
      <t>ミ</t>
    </rPh>
    <rPh sb="21" eb="23">
      <t>サクセイ</t>
    </rPh>
    <rPh sb="84" eb="86">
      <t>テジュン</t>
    </rPh>
    <rPh sb="88" eb="90">
      <t>サクセイ</t>
    </rPh>
    <rPh sb="111" eb="113">
      <t>ニュウリョク</t>
    </rPh>
    <rPh sb="125" eb="127">
      <t>オウカ</t>
    </rPh>
    <phoneticPr fontId="1"/>
  </si>
  <si>
    <t>1. 下記条件を満たすユーザーアカウントを作成する
　ユーザーID：test2345
　メールアドレス：test2@mail.com
　パスワード：テスト1234
2. 手順1で作成したユーザーのメールアドレスとパスワードを入力し、「ログイン」ボタンを押下</t>
    <rPh sb="3" eb="5">
      <t>カキ</t>
    </rPh>
    <rPh sb="5" eb="7">
      <t>ジョウケン</t>
    </rPh>
    <rPh sb="8" eb="9">
      <t>ミ</t>
    </rPh>
    <rPh sb="21" eb="23">
      <t>サクセイ</t>
    </rPh>
    <rPh sb="85" eb="87">
      <t>テジュン</t>
    </rPh>
    <rPh sb="89" eb="91">
      <t>サクセイ</t>
    </rPh>
    <rPh sb="112" eb="114">
      <t>ニュウリョク</t>
    </rPh>
    <rPh sb="126" eb="128">
      <t>オウカ</t>
    </rPh>
    <phoneticPr fontId="1"/>
  </si>
  <si>
    <t>1. 作成済みユーザーのユーザーID、パスワードに空文字を入力し、「ログイン」ボタンを押下</t>
    <rPh sb="3" eb="5">
      <t>サクセイ</t>
    </rPh>
    <rPh sb="5" eb="6">
      <t>ズ</t>
    </rPh>
    <rPh sb="25" eb="28">
      <t>カラモジ</t>
    </rPh>
    <rPh sb="29" eb="31">
      <t>ニュウリョク</t>
    </rPh>
    <rPh sb="43" eb="45">
      <t>オウカ</t>
    </rPh>
    <phoneticPr fontId="1"/>
  </si>
  <si>
    <t>1. 作成済みユーザーのメールアドレスとパスワードを入力し、「ログイン」ボタンを押下</t>
    <rPh sb="3" eb="5">
      <t>サクセイ</t>
    </rPh>
    <rPh sb="5" eb="6">
      <t>ズ</t>
    </rPh>
    <rPh sb="26" eb="28">
      <t>ニュウリョク</t>
    </rPh>
    <rPh sb="40" eb="42">
      <t>オウカ</t>
    </rPh>
    <phoneticPr fontId="1"/>
  </si>
  <si>
    <t>1. ユーザーIDに空文字、作成済みユーザーのパスワードを入力し、「ログイン」ボタンを押下</t>
    <rPh sb="10" eb="13">
      <t>カラモジ</t>
    </rPh>
    <rPh sb="14" eb="16">
      <t>サクセイ</t>
    </rPh>
    <rPh sb="16" eb="17">
      <t>ズ</t>
    </rPh>
    <rPh sb="29" eb="31">
      <t>ニュウリョク</t>
    </rPh>
    <rPh sb="43" eb="45">
      <t>オウカ</t>
    </rPh>
    <phoneticPr fontId="1"/>
  </si>
  <si>
    <t>1. 作成済みユーザーのメールアドレス、存在しないパスワードを入力し、「ログイン」ボタンを押下</t>
    <rPh sb="3" eb="6">
      <t>サクセイズ</t>
    </rPh>
    <rPh sb="20" eb="22">
      <t>ソンザイ</t>
    </rPh>
    <rPh sb="31" eb="33">
      <t>ニュウリョク</t>
    </rPh>
    <rPh sb="45" eb="47">
      <t>オウカ</t>
    </rPh>
    <phoneticPr fontId="1"/>
  </si>
  <si>
    <t>1. 存在しないメールアドレス、作成済みユーザーのパスワードを入力し、「ログイン」ボタンを押下</t>
    <rPh sb="16" eb="18">
      <t>サクセイ</t>
    </rPh>
    <rPh sb="18" eb="19">
      <t>ズ</t>
    </rPh>
    <rPh sb="31" eb="33">
      <t>ニュウリョク</t>
    </rPh>
    <rPh sb="45" eb="47">
      <t>オウカ</t>
    </rPh>
    <phoneticPr fontId="1"/>
  </si>
  <si>
    <t>1. 作成済みユーザーのメールアドレス、パスワードに空文字を入力し、「ログイン」ボタンを押下</t>
    <rPh sb="3" eb="5">
      <t>サクセイ</t>
    </rPh>
    <rPh sb="5" eb="6">
      <t>ズ</t>
    </rPh>
    <rPh sb="26" eb="29">
      <t>カラモジ</t>
    </rPh>
    <rPh sb="30" eb="32">
      <t>ニュウリョク</t>
    </rPh>
    <rPh sb="44" eb="46">
      <t>オウカ</t>
    </rPh>
    <phoneticPr fontId="1"/>
  </si>
  <si>
    <t>1. メールアドレスに空文字、作成済みユーザーのパスワードを入力し、「ログイン」ボタンを押下</t>
    <rPh sb="11" eb="14">
      <t>カラモジ</t>
    </rPh>
    <rPh sb="15" eb="17">
      <t>サクセイ</t>
    </rPh>
    <rPh sb="17" eb="18">
      <t>ズ</t>
    </rPh>
    <rPh sb="30" eb="32">
      <t>ニュウリョク</t>
    </rPh>
    <rPh sb="44" eb="46">
      <t>オウカ</t>
    </rPh>
    <phoneticPr fontId="1"/>
  </si>
  <si>
    <t>1. 下記条件を満たすユーザーアカウントを作成する
　ユーザーID：test1234
　メールアドレス：テスト@mail.com
　パスワード：test1234
2. 手順1で作成したユーザーのメールアドレスとパスワードを入力し、「ログイン」ボタンを押下</t>
    <rPh sb="3" eb="5">
      <t>カキ</t>
    </rPh>
    <rPh sb="5" eb="7">
      <t>ジョウケン</t>
    </rPh>
    <rPh sb="8" eb="9">
      <t>ミ</t>
    </rPh>
    <rPh sb="21" eb="23">
      <t>サクセイ</t>
    </rPh>
    <rPh sb="84" eb="86">
      <t>テジュン</t>
    </rPh>
    <rPh sb="88" eb="90">
      <t>サクセイ</t>
    </rPh>
    <rPh sb="111" eb="113">
      <t>ニュウリョク</t>
    </rPh>
    <rPh sb="125" eb="127">
      <t>オウカ</t>
    </rPh>
    <phoneticPr fontId="1"/>
  </si>
  <si>
    <t>「こちら」を押下</t>
    <rPh sb="6" eb="8">
      <t>オウカ</t>
    </rPh>
    <phoneticPr fontId="1"/>
  </si>
  <si>
    <t>アカウント作成画面に遷移すること</t>
    <rPh sb="5" eb="7">
      <t>サクセイ</t>
    </rPh>
    <rPh sb="7" eb="9">
      <t>ガメン</t>
    </rPh>
    <rPh sb="10" eb="12">
      <t>センイ</t>
    </rPh>
    <phoneticPr fontId="1"/>
  </si>
  <si>
    <t>「アカウント新規作成は」を押下</t>
    <rPh sb="13" eb="15">
      <t>オウカ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</si>
</sst>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sz val="9"/>
      <color theme="1"/>
      <name val="Yu Gothic"/>
      <family val="3"/>
      <charset val="128"/>
      <scheme val="minor"/>
    </font>
    <font>
      <sz val="12"/>
      <color theme="1"/>
      <name val="Yu Gothic"/>
      <family val="3"/>
      <charset val="128"/>
      <scheme val="minor"/>
    </font>
  </fonts>
  <fills count="3">
    <fill>
      <patternFill patternType="none"/>
    </fill>
    <fill>
      <patternFill patternType="gray125"/>
    </fill>
    <fill>
      <patternFill patternType="solid">
        <fgColor theme="4"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0">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wrapText="1"/>
    </xf>
    <xf numFmtId="0" fontId="2" fillId="0" borderId="0" xfId="0" applyFont="1" applyAlignment="1">
      <alignment horizontal="center" vertical="center"/>
    </xf>
    <xf numFmtId="0" fontId="3" fillId="0" borderId="0" xfId="0" applyFont="1" applyAlignment="1">
      <alignment horizontal="left" vertical="center"/>
    </xf>
    <xf numFmtId="0" fontId="2" fillId="0" borderId="3" xfId="0" applyFont="1" applyBorder="1" applyAlignment="1">
      <alignment horizontal="center" vertical="center"/>
    </xf>
    <xf numFmtId="9" fontId="2" fillId="0" borderId="3" xfId="0" applyNumberFormat="1"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right" vertical="center"/>
    </xf>
    <xf numFmtId="0" fontId="2" fillId="2" borderId="2" xfId="0" applyFont="1" applyFill="1" applyBorder="1" applyAlignment="1">
      <alignment horizontal="right"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1" xfId="0" applyFont="1" applyBorder="1" applyAlignment="1">
      <alignment vertical="center" wrapText="1"/>
    </xf>
    <xf numFmtId="0" fontId="2" fillId="0" borderId="4" xfId="0" applyFont="1" applyBorder="1" applyAlignment="1">
      <alignment horizontal="center" vertical="center"/>
    </xf>
    <xf numFmtId="0" fontId="2" fillId="0" borderId="8"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xf>
  </cellXfs>
  <cellStyles count="1">
    <cellStyle name="標準" xfId="0" builtinId="0"/>
  </cellStyles>
  <dxfs count="4">
    <dxf>
      <fill>
        <patternFill patternType="solid">
          <bgColor theme="4" tint="0.59996337778862885"/>
        </patternFill>
      </fill>
    </dxf>
    <dxf>
      <fill>
        <patternFill>
          <bgColor theme="5" tint="0.59996337778862885"/>
        </patternFill>
      </fill>
    </dxf>
    <dxf>
      <fill>
        <patternFill>
          <bgColor theme="5"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693420</xdr:colOff>
      <xdr:row>62</xdr:row>
      <xdr:rowOff>845820</xdr:rowOff>
    </xdr:from>
    <xdr:to>
      <xdr:col>4</xdr:col>
      <xdr:colOff>236220</xdr:colOff>
      <xdr:row>63</xdr:row>
      <xdr:rowOff>510540</xdr:rowOff>
    </xdr:to>
    <xdr:sp macro="" textlink="">
      <xdr:nvSpPr>
        <xdr:cNvPr id="2" name="吹き出し: 線 1">
          <a:extLst>
            <a:ext uri="{FF2B5EF4-FFF2-40B4-BE49-F238E27FC236}">
              <a16:creationId xmlns:a16="http://schemas.microsoft.com/office/drawing/2014/main" id="{025287D9-1CF8-6267-C709-EBD6E8A4757E}"/>
            </a:ext>
          </a:extLst>
        </xdr:cNvPr>
        <xdr:cNvSpPr/>
      </xdr:nvSpPr>
      <xdr:spPr>
        <a:xfrm>
          <a:off x="1310640" y="15384780"/>
          <a:ext cx="1821180" cy="807720"/>
        </a:xfrm>
        <a:prstGeom prst="borderCallout1">
          <a:avLst>
            <a:gd name="adj1" fmla="val 26277"/>
            <a:gd name="adj2" fmla="val 110138"/>
            <a:gd name="adj3" fmla="val 117876"/>
            <a:gd name="adj4" fmla="val 132368"/>
          </a:avLst>
        </a:prstGeom>
        <a:solidFill>
          <a:schemeClr val="accent4">
            <a:lumMod val="40000"/>
            <a:lumOff val="60000"/>
          </a:schemeClr>
        </a:solid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通常操作では作成不可ですが、デバッグ処理的にデータ作成可能です</a:t>
          </a:r>
        </a:p>
      </xdr:txBody>
    </xdr:sp>
    <xdr:clientData/>
  </xdr:twoCellAnchor>
  <xdr:twoCellAnchor>
    <xdr:from>
      <xdr:col>2</xdr:col>
      <xdr:colOff>693420</xdr:colOff>
      <xdr:row>130</xdr:row>
      <xdr:rowOff>845820</xdr:rowOff>
    </xdr:from>
    <xdr:to>
      <xdr:col>4</xdr:col>
      <xdr:colOff>236220</xdr:colOff>
      <xdr:row>131</xdr:row>
      <xdr:rowOff>510540</xdr:rowOff>
    </xdr:to>
    <xdr:sp macro="" textlink="">
      <xdr:nvSpPr>
        <xdr:cNvPr id="4" name="吹き出し: 線 3">
          <a:extLst>
            <a:ext uri="{FF2B5EF4-FFF2-40B4-BE49-F238E27FC236}">
              <a16:creationId xmlns:a16="http://schemas.microsoft.com/office/drawing/2014/main" id="{9FEA510A-01C9-4644-A7CD-06096675E137}"/>
            </a:ext>
          </a:extLst>
        </xdr:cNvPr>
        <xdr:cNvSpPr/>
      </xdr:nvSpPr>
      <xdr:spPr>
        <a:xfrm>
          <a:off x="1310640" y="15384780"/>
          <a:ext cx="1821180" cy="807720"/>
        </a:xfrm>
        <a:prstGeom prst="borderCallout1">
          <a:avLst>
            <a:gd name="adj1" fmla="val 26277"/>
            <a:gd name="adj2" fmla="val 110138"/>
            <a:gd name="adj3" fmla="val 117876"/>
            <a:gd name="adj4" fmla="val 132368"/>
          </a:avLst>
        </a:prstGeom>
        <a:solidFill>
          <a:schemeClr val="accent4">
            <a:lumMod val="40000"/>
            <a:lumOff val="60000"/>
          </a:schemeClr>
        </a:solid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通常操作では作成不可ですが、デバッグ処理的にデータ作成可能です</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N136"/>
  <sheetViews>
    <sheetView tabSelected="1" workbookViewId="0"/>
  </sheetViews>
  <sheetFormatPr defaultColWidth="9" defaultRowHeight="15"/>
  <cols>
    <col min="1" max="1" width="3.59765625" style="4" customWidth="1"/>
    <col min="2" max="2" width="4.5" style="10" bestFit="1" customWidth="1"/>
    <col min="3" max="3" width="16.59765625" style="4" customWidth="1"/>
    <col min="4" max="4" width="13.296875" style="4" customWidth="1"/>
    <col min="5" max="5" width="10.19921875" style="4" bestFit="1" customWidth="1"/>
    <col min="6" max="6" width="39.19921875" style="4" customWidth="1"/>
    <col min="7" max="7" width="42.69921875" style="4" customWidth="1"/>
    <col min="8" max="8" width="7.5" style="4" bestFit="1" customWidth="1"/>
    <col min="9" max="9" width="6.59765625" style="4" bestFit="1" customWidth="1"/>
    <col min="10" max="11" width="6" style="4" bestFit="1" customWidth="1"/>
    <col min="12" max="12" width="4.5" style="4" bestFit="1" customWidth="1"/>
    <col min="13" max="13" width="7.5" style="4" bestFit="1" customWidth="1"/>
    <col min="14" max="14" width="21.5" style="4" customWidth="1"/>
    <col min="15" max="16384" width="9" style="4"/>
  </cols>
  <sheetData>
    <row r="2" spans="2:14" ht="19.8">
      <c r="B2" s="11" t="s">
        <v>30</v>
      </c>
    </row>
    <row r="4" spans="2:14">
      <c r="B4" s="15" t="s">
        <v>33</v>
      </c>
      <c r="C4" s="16"/>
      <c r="D4" s="3" t="str">
        <f>定義!$B$4</f>
        <v>1.0.4</v>
      </c>
    </row>
    <row r="5" spans="2:14">
      <c r="B5" s="17" t="s">
        <v>36</v>
      </c>
      <c r="C5" s="18"/>
      <c r="D5" s="3">
        <f>COUNT($B15:$B68)</f>
        <v>54</v>
      </c>
    </row>
    <row r="6" spans="2:14">
      <c r="B6" s="19" t="s">
        <v>35</v>
      </c>
      <c r="C6" s="20"/>
      <c r="D6" s="13">
        <f xml:space="preserve"> D9 / COUNT($B15:$B68)</f>
        <v>0</v>
      </c>
    </row>
    <row r="7" spans="2:14">
      <c r="B7" s="19" t="s">
        <v>20</v>
      </c>
      <c r="C7" s="20"/>
      <c r="D7" s="12">
        <f>COUNTIF($H$15:$H$68,"未着手")</f>
        <v>54</v>
      </c>
    </row>
    <row r="8" spans="2:14">
      <c r="B8" s="19" t="s">
        <v>21</v>
      </c>
      <c r="C8" s="20"/>
      <c r="D8" s="12">
        <f>COUNTIF($H$15:$H$68,"進行中")</f>
        <v>0</v>
      </c>
    </row>
    <row r="9" spans="2:14">
      <c r="B9" s="19" t="s">
        <v>34</v>
      </c>
      <c r="C9" s="20"/>
      <c r="D9" s="12">
        <f>COUNTIF($H$15:$H$68,"確認完了")</f>
        <v>0</v>
      </c>
    </row>
    <row r="10" spans="2:14">
      <c r="B10" s="19" t="s">
        <v>23</v>
      </c>
      <c r="C10" s="20"/>
      <c r="D10" s="12">
        <f>COUNTIF($H$15:$H$68,"確認不可")</f>
        <v>0</v>
      </c>
    </row>
    <row r="11" spans="2:14">
      <c r="B11" s="19" t="s">
        <v>24</v>
      </c>
      <c r="C11" s="20"/>
      <c r="D11" s="12">
        <f>COUNTIF($H$15:$H$68,"NG")</f>
        <v>0</v>
      </c>
    </row>
    <row r="13" spans="2:14">
      <c r="B13" s="14" t="s">
        <v>0</v>
      </c>
      <c r="C13" s="14" t="s">
        <v>1</v>
      </c>
      <c r="D13" s="14"/>
      <c r="E13" s="14"/>
      <c r="F13" s="14"/>
      <c r="G13" s="21"/>
      <c r="H13" s="22" t="s">
        <v>14</v>
      </c>
      <c r="I13" s="14" t="s">
        <v>5</v>
      </c>
      <c r="J13" s="24" t="s">
        <v>2</v>
      </c>
      <c r="K13" s="14" t="s">
        <v>6</v>
      </c>
      <c r="L13" s="14" t="s">
        <v>3</v>
      </c>
      <c r="M13" s="14" t="s">
        <v>4</v>
      </c>
      <c r="N13" s="14" t="s">
        <v>7</v>
      </c>
    </row>
    <row r="14" spans="2:14">
      <c r="B14" s="14"/>
      <c r="C14" s="1" t="s">
        <v>38</v>
      </c>
      <c r="D14" s="1" t="s">
        <v>39</v>
      </c>
      <c r="E14" s="1" t="s">
        <v>40</v>
      </c>
      <c r="F14" s="1" t="s">
        <v>41</v>
      </c>
      <c r="G14" s="2" t="s">
        <v>8</v>
      </c>
      <c r="H14" s="23"/>
      <c r="I14" s="14"/>
      <c r="J14" s="24"/>
      <c r="K14" s="14"/>
      <c r="L14" s="14"/>
      <c r="M14" s="14"/>
      <c r="N14" s="14"/>
    </row>
    <row r="15" spans="2:14">
      <c r="B15" s="5">
        <v>1</v>
      </c>
      <c r="C15" s="26" t="s">
        <v>9</v>
      </c>
      <c r="D15" s="26" t="s">
        <v>42</v>
      </c>
      <c r="E15" s="5" t="s">
        <v>43</v>
      </c>
      <c r="F15" s="25" t="s">
        <v>44</v>
      </c>
      <c r="G15" s="7" t="s">
        <v>45</v>
      </c>
      <c r="H15" s="5" t="s">
        <v>20</v>
      </c>
      <c r="I15" s="6"/>
      <c r="J15" s="8"/>
      <c r="K15" s="6"/>
      <c r="L15" s="6"/>
      <c r="M15" s="6"/>
      <c r="N15" s="6"/>
    </row>
    <row r="16" spans="2:14">
      <c r="B16" s="5">
        <v>2</v>
      </c>
      <c r="C16" s="27"/>
      <c r="D16" s="27"/>
      <c r="E16" s="26" t="s">
        <v>46</v>
      </c>
      <c r="F16" s="25" t="s">
        <v>47</v>
      </c>
      <c r="G16" s="7" t="s">
        <v>48</v>
      </c>
      <c r="H16" s="5" t="s">
        <v>20</v>
      </c>
      <c r="I16" s="6"/>
      <c r="J16" s="8"/>
      <c r="K16" s="6"/>
      <c r="L16" s="6"/>
      <c r="M16" s="6"/>
      <c r="N16" s="6"/>
    </row>
    <row r="17" spans="2:14">
      <c r="B17" s="5">
        <v>3</v>
      </c>
      <c r="C17" s="27"/>
      <c r="D17" s="27"/>
      <c r="E17" s="28"/>
      <c r="F17" s="25" t="s">
        <v>47</v>
      </c>
      <c r="G17" s="7" t="s">
        <v>49</v>
      </c>
      <c r="H17" s="5" t="s">
        <v>20</v>
      </c>
      <c r="I17" s="6"/>
      <c r="J17" s="8"/>
      <c r="K17" s="6"/>
      <c r="L17" s="6"/>
      <c r="M17" s="6"/>
      <c r="N17" s="6"/>
    </row>
    <row r="18" spans="2:14">
      <c r="B18" s="5">
        <v>4</v>
      </c>
      <c r="C18" s="27"/>
      <c r="D18" s="27"/>
      <c r="E18" s="26" t="s">
        <v>51</v>
      </c>
      <c r="F18" s="25" t="s">
        <v>52</v>
      </c>
      <c r="G18" s="7" t="s">
        <v>49</v>
      </c>
      <c r="H18" s="5" t="s">
        <v>20</v>
      </c>
      <c r="I18" s="6"/>
      <c r="J18" s="8"/>
      <c r="K18" s="6"/>
      <c r="L18" s="6"/>
      <c r="M18" s="6"/>
      <c r="N18" s="6"/>
    </row>
    <row r="19" spans="2:14" ht="30">
      <c r="B19" s="5">
        <v>5</v>
      </c>
      <c r="C19" s="28"/>
      <c r="D19" s="28"/>
      <c r="E19" s="28"/>
      <c r="F19" s="25" t="s">
        <v>53</v>
      </c>
      <c r="G19" s="7" t="s">
        <v>49</v>
      </c>
      <c r="H19" s="5" t="s">
        <v>20</v>
      </c>
      <c r="I19" s="6"/>
      <c r="J19" s="8"/>
      <c r="K19" s="6"/>
      <c r="L19" s="6"/>
      <c r="M19" s="6"/>
      <c r="N19" s="6"/>
    </row>
    <row r="20" spans="2:14">
      <c r="B20" s="5">
        <v>6</v>
      </c>
      <c r="C20" s="26" t="s">
        <v>10</v>
      </c>
      <c r="D20" s="26" t="s">
        <v>42</v>
      </c>
      <c r="E20" s="5" t="s">
        <v>43</v>
      </c>
      <c r="F20" s="25" t="s">
        <v>54</v>
      </c>
      <c r="G20" s="7" t="s">
        <v>55</v>
      </c>
      <c r="H20" s="5" t="s">
        <v>20</v>
      </c>
      <c r="I20" s="6"/>
      <c r="J20" s="8"/>
      <c r="K20" s="6"/>
      <c r="L20" s="6"/>
      <c r="M20" s="6"/>
      <c r="N20" s="6"/>
    </row>
    <row r="21" spans="2:14">
      <c r="B21" s="5">
        <v>7</v>
      </c>
      <c r="C21" s="27"/>
      <c r="D21" s="27"/>
      <c r="E21" s="26" t="s">
        <v>56</v>
      </c>
      <c r="F21" s="25" t="s">
        <v>58</v>
      </c>
      <c r="G21" s="7" t="s">
        <v>57</v>
      </c>
      <c r="H21" s="5" t="s">
        <v>20</v>
      </c>
      <c r="I21" s="6"/>
      <c r="J21" s="8"/>
      <c r="K21" s="6"/>
      <c r="L21" s="6"/>
      <c r="M21" s="6"/>
      <c r="N21" s="6"/>
    </row>
    <row r="22" spans="2:14">
      <c r="B22" s="5">
        <v>8</v>
      </c>
      <c r="C22" s="27"/>
      <c r="D22" s="27"/>
      <c r="E22" s="27"/>
      <c r="F22" s="25" t="s">
        <v>59</v>
      </c>
      <c r="G22" s="7" t="s">
        <v>57</v>
      </c>
      <c r="H22" s="5" t="s">
        <v>20</v>
      </c>
      <c r="I22" s="6"/>
      <c r="J22" s="8"/>
      <c r="K22" s="6"/>
      <c r="L22" s="6"/>
      <c r="M22" s="6"/>
      <c r="N22" s="6"/>
    </row>
    <row r="23" spans="2:14">
      <c r="B23" s="5">
        <v>9</v>
      </c>
      <c r="C23" s="27"/>
      <c r="D23" s="27"/>
      <c r="E23" s="27"/>
      <c r="F23" s="25" t="s">
        <v>60</v>
      </c>
      <c r="G23" s="7" t="s">
        <v>57</v>
      </c>
      <c r="H23" s="5" t="s">
        <v>20</v>
      </c>
      <c r="I23" s="6"/>
      <c r="J23" s="8"/>
      <c r="K23" s="6"/>
      <c r="L23" s="6"/>
      <c r="M23" s="6"/>
      <c r="N23" s="6"/>
    </row>
    <row r="24" spans="2:14">
      <c r="B24" s="5">
        <v>10</v>
      </c>
      <c r="C24" s="27"/>
      <c r="D24" s="27"/>
      <c r="E24" s="27"/>
      <c r="F24" s="25" t="s">
        <v>61</v>
      </c>
      <c r="G24" s="7" t="s">
        <v>57</v>
      </c>
      <c r="H24" s="5" t="s">
        <v>20</v>
      </c>
      <c r="I24" s="6"/>
      <c r="J24" s="8"/>
      <c r="K24" s="6"/>
      <c r="L24" s="6"/>
      <c r="M24" s="6"/>
      <c r="N24" s="6"/>
    </row>
    <row r="25" spans="2:14">
      <c r="B25" s="5">
        <v>11</v>
      </c>
      <c r="C25" s="27"/>
      <c r="D25" s="27"/>
      <c r="E25" s="27"/>
      <c r="F25" s="25" t="s">
        <v>62</v>
      </c>
      <c r="G25" s="7" t="s">
        <v>57</v>
      </c>
      <c r="H25" s="5" t="s">
        <v>20</v>
      </c>
      <c r="I25" s="6"/>
      <c r="J25" s="8"/>
      <c r="K25" s="6"/>
      <c r="L25" s="6"/>
      <c r="M25" s="6"/>
      <c r="N25" s="6"/>
    </row>
    <row r="26" spans="2:14">
      <c r="B26" s="5">
        <v>12</v>
      </c>
      <c r="C26" s="27"/>
      <c r="D26" s="27"/>
      <c r="E26" s="27"/>
      <c r="F26" s="25" t="s">
        <v>63</v>
      </c>
      <c r="G26" s="7" t="s">
        <v>57</v>
      </c>
      <c r="H26" s="5" t="s">
        <v>20</v>
      </c>
      <c r="I26" s="6"/>
      <c r="J26" s="8"/>
      <c r="K26" s="6"/>
      <c r="L26" s="6"/>
      <c r="M26" s="6"/>
      <c r="N26" s="6"/>
    </row>
    <row r="27" spans="2:14">
      <c r="B27" s="5">
        <v>13</v>
      </c>
      <c r="C27" s="27"/>
      <c r="D27" s="27"/>
      <c r="E27" s="27"/>
      <c r="F27" s="25" t="s">
        <v>64</v>
      </c>
      <c r="G27" s="7" t="s">
        <v>57</v>
      </c>
      <c r="H27" s="5" t="s">
        <v>20</v>
      </c>
      <c r="I27" s="6"/>
      <c r="J27" s="8"/>
      <c r="K27" s="6"/>
      <c r="L27" s="6"/>
      <c r="M27" s="6"/>
      <c r="N27" s="6"/>
    </row>
    <row r="28" spans="2:14">
      <c r="B28" s="5">
        <v>14</v>
      </c>
      <c r="C28" s="27"/>
      <c r="D28" s="27"/>
      <c r="E28" s="27"/>
      <c r="F28" s="25" t="s">
        <v>65</v>
      </c>
      <c r="G28" s="7" t="s">
        <v>67</v>
      </c>
      <c r="H28" s="5" t="s">
        <v>20</v>
      </c>
      <c r="I28" s="6"/>
      <c r="J28" s="8"/>
      <c r="K28" s="6"/>
      <c r="L28" s="6"/>
      <c r="M28" s="6"/>
      <c r="N28" s="6"/>
    </row>
    <row r="29" spans="2:14">
      <c r="B29" s="5">
        <v>15</v>
      </c>
      <c r="C29" s="27"/>
      <c r="D29" s="27"/>
      <c r="E29" s="28"/>
      <c r="F29" s="25" t="s">
        <v>66</v>
      </c>
      <c r="G29" s="7" t="s">
        <v>67</v>
      </c>
      <c r="H29" s="5" t="s">
        <v>20</v>
      </c>
      <c r="I29" s="6"/>
      <c r="J29" s="8"/>
      <c r="K29" s="6"/>
      <c r="L29" s="6"/>
      <c r="M29" s="6"/>
      <c r="N29" s="6"/>
    </row>
    <row r="30" spans="2:14" ht="30">
      <c r="B30" s="5">
        <v>16</v>
      </c>
      <c r="C30" s="28"/>
      <c r="D30" s="28"/>
      <c r="E30" s="5" t="s">
        <v>68</v>
      </c>
      <c r="F30" s="25" t="s">
        <v>70</v>
      </c>
      <c r="G30" s="7" t="s">
        <v>69</v>
      </c>
      <c r="H30" s="5" t="s">
        <v>20</v>
      </c>
      <c r="I30" s="6"/>
      <c r="J30" s="8"/>
      <c r="K30" s="6"/>
      <c r="L30" s="6"/>
      <c r="M30" s="6"/>
      <c r="N30" s="6"/>
    </row>
    <row r="31" spans="2:14">
      <c r="B31" s="5">
        <v>17</v>
      </c>
      <c r="C31" s="26" t="s">
        <v>11</v>
      </c>
      <c r="D31" s="26" t="s">
        <v>42</v>
      </c>
      <c r="E31" s="5" t="s">
        <v>43</v>
      </c>
      <c r="F31" s="25" t="s">
        <v>71</v>
      </c>
      <c r="G31" s="7" t="s">
        <v>55</v>
      </c>
      <c r="H31" s="5" t="s">
        <v>20</v>
      </c>
      <c r="I31" s="6"/>
      <c r="J31" s="8"/>
      <c r="K31" s="6"/>
      <c r="L31" s="6"/>
      <c r="M31" s="6"/>
      <c r="N31" s="6"/>
    </row>
    <row r="32" spans="2:14">
      <c r="B32" s="5">
        <v>18</v>
      </c>
      <c r="C32" s="27"/>
      <c r="D32" s="27"/>
      <c r="E32" s="26" t="s">
        <v>56</v>
      </c>
      <c r="F32" s="25" t="s">
        <v>58</v>
      </c>
      <c r="G32" s="7" t="s">
        <v>57</v>
      </c>
      <c r="H32" s="5" t="s">
        <v>20</v>
      </c>
      <c r="I32" s="6"/>
      <c r="J32" s="8"/>
      <c r="K32" s="6"/>
      <c r="L32" s="6"/>
      <c r="M32" s="6"/>
      <c r="N32" s="6"/>
    </row>
    <row r="33" spans="2:14">
      <c r="B33" s="5">
        <v>19</v>
      </c>
      <c r="C33" s="27"/>
      <c r="D33" s="27"/>
      <c r="E33" s="27"/>
      <c r="F33" s="25" t="s">
        <v>59</v>
      </c>
      <c r="G33" s="7" t="s">
        <v>57</v>
      </c>
      <c r="H33" s="5" t="s">
        <v>20</v>
      </c>
      <c r="I33" s="6"/>
      <c r="J33" s="8"/>
      <c r="K33" s="6"/>
      <c r="L33" s="6"/>
      <c r="M33" s="6"/>
      <c r="N33" s="6"/>
    </row>
    <row r="34" spans="2:14">
      <c r="B34" s="5">
        <v>20</v>
      </c>
      <c r="C34" s="27"/>
      <c r="D34" s="27"/>
      <c r="E34" s="27"/>
      <c r="F34" s="25" t="s">
        <v>60</v>
      </c>
      <c r="G34" s="7" t="s">
        <v>57</v>
      </c>
      <c r="H34" s="5" t="s">
        <v>20</v>
      </c>
      <c r="I34" s="6"/>
      <c r="J34" s="8"/>
      <c r="K34" s="6"/>
      <c r="L34" s="6"/>
      <c r="M34" s="6"/>
      <c r="N34" s="6"/>
    </row>
    <row r="35" spans="2:14">
      <c r="B35" s="5">
        <v>21</v>
      </c>
      <c r="C35" s="27"/>
      <c r="D35" s="27"/>
      <c r="E35" s="27"/>
      <c r="F35" s="25" t="s">
        <v>61</v>
      </c>
      <c r="G35" s="7" t="s">
        <v>57</v>
      </c>
      <c r="H35" s="5" t="s">
        <v>20</v>
      </c>
      <c r="I35" s="6"/>
      <c r="J35" s="8"/>
      <c r="K35" s="6"/>
      <c r="L35" s="6"/>
      <c r="M35" s="6"/>
      <c r="N35" s="6"/>
    </row>
    <row r="36" spans="2:14">
      <c r="B36" s="5">
        <v>22</v>
      </c>
      <c r="C36" s="27"/>
      <c r="D36" s="27"/>
      <c r="E36" s="27"/>
      <c r="F36" s="25" t="s">
        <v>62</v>
      </c>
      <c r="G36" s="7" t="s">
        <v>57</v>
      </c>
      <c r="H36" s="5" t="s">
        <v>20</v>
      </c>
      <c r="I36" s="6"/>
      <c r="J36" s="8"/>
      <c r="K36" s="6"/>
      <c r="L36" s="6"/>
      <c r="M36" s="6"/>
      <c r="N36" s="6"/>
    </row>
    <row r="37" spans="2:14">
      <c r="B37" s="5">
        <v>23</v>
      </c>
      <c r="C37" s="27"/>
      <c r="D37" s="27"/>
      <c r="E37" s="27"/>
      <c r="F37" s="25" t="s">
        <v>63</v>
      </c>
      <c r="G37" s="7" t="s">
        <v>57</v>
      </c>
      <c r="H37" s="5" t="s">
        <v>20</v>
      </c>
      <c r="I37" s="6"/>
      <c r="J37" s="8"/>
      <c r="K37" s="6"/>
      <c r="L37" s="6"/>
      <c r="M37" s="6"/>
      <c r="N37" s="6"/>
    </row>
    <row r="38" spans="2:14">
      <c r="B38" s="5">
        <v>24</v>
      </c>
      <c r="C38" s="27"/>
      <c r="D38" s="27"/>
      <c r="E38" s="27"/>
      <c r="F38" s="25" t="s">
        <v>64</v>
      </c>
      <c r="G38" s="7" t="s">
        <v>57</v>
      </c>
      <c r="H38" s="5" t="s">
        <v>20</v>
      </c>
      <c r="I38" s="6"/>
      <c r="J38" s="8"/>
      <c r="K38" s="6"/>
      <c r="L38" s="6"/>
      <c r="M38" s="6"/>
      <c r="N38" s="6"/>
    </row>
    <row r="39" spans="2:14">
      <c r="B39" s="5">
        <v>25</v>
      </c>
      <c r="C39" s="27"/>
      <c r="D39" s="27"/>
      <c r="E39" s="27"/>
      <c r="F39" s="25" t="s">
        <v>65</v>
      </c>
      <c r="G39" s="7" t="s">
        <v>67</v>
      </c>
      <c r="H39" s="5" t="s">
        <v>20</v>
      </c>
      <c r="I39" s="6"/>
      <c r="J39" s="8"/>
      <c r="K39" s="6"/>
      <c r="L39" s="6"/>
      <c r="M39" s="6"/>
      <c r="N39" s="6"/>
    </row>
    <row r="40" spans="2:14">
      <c r="B40" s="5">
        <v>26</v>
      </c>
      <c r="C40" s="27"/>
      <c r="D40" s="27"/>
      <c r="E40" s="28"/>
      <c r="F40" s="25" t="s">
        <v>66</v>
      </c>
      <c r="G40" s="7" t="s">
        <v>67</v>
      </c>
      <c r="H40" s="5" t="s">
        <v>20</v>
      </c>
      <c r="I40" s="6"/>
      <c r="J40" s="8"/>
      <c r="K40" s="6"/>
      <c r="L40" s="6"/>
      <c r="M40" s="6"/>
      <c r="N40" s="6"/>
    </row>
    <row r="41" spans="2:14" ht="30">
      <c r="B41" s="5">
        <v>27</v>
      </c>
      <c r="C41" s="28"/>
      <c r="D41" s="28"/>
      <c r="E41" s="5" t="s">
        <v>68</v>
      </c>
      <c r="F41" s="25" t="s">
        <v>70</v>
      </c>
      <c r="G41" s="7" t="s">
        <v>69</v>
      </c>
      <c r="H41" s="5" t="s">
        <v>20</v>
      </c>
      <c r="I41" s="6"/>
      <c r="J41" s="8"/>
      <c r="K41" s="6"/>
      <c r="L41" s="6"/>
      <c r="M41" s="6"/>
      <c r="N41" s="6"/>
    </row>
    <row r="42" spans="2:14">
      <c r="B42" s="5">
        <v>28</v>
      </c>
      <c r="C42" s="26" t="s">
        <v>74</v>
      </c>
      <c r="D42" s="26" t="s">
        <v>42</v>
      </c>
      <c r="E42" s="5" t="s">
        <v>43</v>
      </c>
      <c r="F42" s="25" t="s">
        <v>75</v>
      </c>
      <c r="G42" s="7" t="s">
        <v>55</v>
      </c>
      <c r="H42" s="5" t="s">
        <v>20</v>
      </c>
      <c r="I42" s="6"/>
      <c r="J42" s="8"/>
      <c r="K42" s="6"/>
      <c r="L42" s="6"/>
      <c r="M42" s="6"/>
      <c r="N42" s="6"/>
    </row>
    <row r="43" spans="2:14">
      <c r="B43" s="5">
        <v>29</v>
      </c>
      <c r="C43" s="27"/>
      <c r="D43" s="27"/>
      <c r="E43" s="26" t="s">
        <v>56</v>
      </c>
      <c r="F43" s="25" t="s">
        <v>58</v>
      </c>
      <c r="G43" s="7" t="s">
        <v>72</v>
      </c>
      <c r="H43" s="5" t="s">
        <v>20</v>
      </c>
      <c r="I43" s="6"/>
      <c r="J43" s="8"/>
      <c r="K43" s="6"/>
      <c r="L43" s="6"/>
      <c r="M43" s="6"/>
      <c r="N43" s="6"/>
    </row>
    <row r="44" spans="2:14">
      <c r="B44" s="5">
        <v>30</v>
      </c>
      <c r="C44" s="27"/>
      <c r="D44" s="27"/>
      <c r="E44" s="27"/>
      <c r="F44" s="25" t="s">
        <v>59</v>
      </c>
      <c r="G44" s="7" t="s">
        <v>72</v>
      </c>
      <c r="H44" s="5" t="s">
        <v>20</v>
      </c>
      <c r="I44" s="6"/>
      <c r="J44" s="8"/>
      <c r="K44" s="6"/>
      <c r="L44" s="6"/>
      <c r="M44" s="6"/>
      <c r="N44" s="6"/>
    </row>
    <row r="45" spans="2:14">
      <c r="B45" s="5">
        <v>31</v>
      </c>
      <c r="C45" s="27"/>
      <c r="D45" s="27"/>
      <c r="E45" s="27"/>
      <c r="F45" s="25" t="s">
        <v>60</v>
      </c>
      <c r="G45" s="7" t="s">
        <v>72</v>
      </c>
      <c r="H45" s="5" t="s">
        <v>20</v>
      </c>
      <c r="I45" s="6"/>
      <c r="J45" s="8"/>
      <c r="K45" s="6"/>
      <c r="L45" s="6"/>
      <c r="M45" s="6"/>
      <c r="N45" s="6"/>
    </row>
    <row r="46" spans="2:14">
      <c r="B46" s="5">
        <v>32</v>
      </c>
      <c r="C46" s="27"/>
      <c r="D46" s="27"/>
      <c r="E46" s="27"/>
      <c r="F46" s="25" t="s">
        <v>61</v>
      </c>
      <c r="G46" s="7" t="s">
        <v>72</v>
      </c>
      <c r="H46" s="5" t="s">
        <v>20</v>
      </c>
      <c r="I46" s="6"/>
      <c r="J46" s="8"/>
      <c r="K46" s="6"/>
      <c r="L46" s="6"/>
      <c r="M46" s="6"/>
      <c r="N46" s="6"/>
    </row>
    <row r="47" spans="2:14">
      <c r="B47" s="5">
        <v>33</v>
      </c>
      <c r="C47" s="27"/>
      <c r="D47" s="27"/>
      <c r="E47" s="27"/>
      <c r="F47" s="25" t="s">
        <v>62</v>
      </c>
      <c r="G47" s="7" t="s">
        <v>72</v>
      </c>
      <c r="H47" s="5" t="s">
        <v>20</v>
      </c>
      <c r="I47" s="6"/>
      <c r="J47" s="8"/>
      <c r="K47" s="6"/>
      <c r="L47" s="6"/>
      <c r="M47" s="6"/>
      <c r="N47" s="6"/>
    </row>
    <row r="48" spans="2:14">
      <c r="B48" s="5">
        <v>34</v>
      </c>
      <c r="C48" s="27"/>
      <c r="D48" s="27"/>
      <c r="E48" s="27"/>
      <c r="F48" s="25" t="s">
        <v>63</v>
      </c>
      <c r="G48" s="7" t="s">
        <v>72</v>
      </c>
      <c r="H48" s="5" t="s">
        <v>20</v>
      </c>
      <c r="I48" s="6"/>
      <c r="J48" s="8"/>
      <c r="K48" s="6"/>
      <c r="L48" s="6"/>
      <c r="M48" s="6"/>
      <c r="N48" s="6"/>
    </row>
    <row r="49" spans="2:14">
      <c r="B49" s="5">
        <v>35</v>
      </c>
      <c r="C49" s="27"/>
      <c r="D49" s="27"/>
      <c r="E49" s="27"/>
      <c r="F49" s="25" t="s">
        <v>64</v>
      </c>
      <c r="G49" s="7" t="s">
        <v>72</v>
      </c>
      <c r="H49" s="5" t="s">
        <v>20</v>
      </c>
      <c r="I49" s="6"/>
      <c r="J49" s="8"/>
      <c r="K49" s="6"/>
      <c r="L49" s="6"/>
      <c r="M49" s="6"/>
      <c r="N49" s="6"/>
    </row>
    <row r="50" spans="2:14">
      <c r="B50" s="5">
        <v>36</v>
      </c>
      <c r="C50" s="27"/>
      <c r="D50" s="27"/>
      <c r="E50" s="27"/>
      <c r="F50" s="25" t="s">
        <v>65</v>
      </c>
      <c r="G50" s="7" t="s">
        <v>73</v>
      </c>
      <c r="H50" s="5" t="s">
        <v>20</v>
      </c>
      <c r="I50" s="6"/>
      <c r="J50" s="8"/>
      <c r="K50" s="6"/>
      <c r="L50" s="6"/>
      <c r="M50" s="6"/>
      <c r="N50" s="6"/>
    </row>
    <row r="51" spans="2:14">
      <c r="B51" s="5">
        <v>37</v>
      </c>
      <c r="C51" s="27"/>
      <c r="D51" s="27"/>
      <c r="E51" s="28"/>
      <c r="F51" s="25" t="s">
        <v>66</v>
      </c>
      <c r="G51" s="7" t="s">
        <v>73</v>
      </c>
      <c r="H51" s="5" t="s">
        <v>20</v>
      </c>
      <c r="I51" s="6"/>
      <c r="J51" s="8"/>
      <c r="K51" s="6"/>
      <c r="L51" s="6"/>
      <c r="M51" s="6"/>
      <c r="N51" s="6"/>
    </row>
    <row r="52" spans="2:14" ht="30">
      <c r="B52" s="5">
        <v>38</v>
      </c>
      <c r="C52" s="28"/>
      <c r="D52" s="28"/>
      <c r="E52" s="5" t="s">
        <v>68</v>
      </c>
      <c r="F52" s="25" t="s">
        <v>70</v>
      </c>
      <c r="G52" s="7" t="s">
        <v>69</v>
      </c>
      <c r="H52" s="5" t="s">
        <v>20</v>
      </c>
      <c r="I52" s="6"/>
      <c r="J52" s="8"/>
      <c r="K52" s="6"/>
      <c r="L52" s="6"/>
      <c r="M52" s="6"/>
      <c r="N52" s="6"/>
    </row>
    <row r="53" spans="2:14" ht="30">
      <c r="B53" s="5">
        <v>39</v>
      </c>
      <c r="C53" s="26" t="s">
        <v>12</v>
      </c>
      <c r="D53" s="26" t="s">
        <v>76</v>
      </c>
      <c r="E53" s="26" t="s">
        <v>43</v>
      </c>
      <c r="F53" s="25" t="s">
        <v>77</v>
      </c>
      <c r="G53" s="7" t="s">
        <v>78</v>
      </c>
      <c r="H53" s="5" t="s">
        <v>20</v>
      </c>
      <c r="I53" s="6"/>
      <c r="J53" s="8"/>
      <c r="K53" s="6"/>
      <c r="L53" s="6"/>
      <c r="M53" s="6"/>
      <c r="N53" s="6"/>
    </row>
    <row r="54" spans="2:14" ht="30">
      <c r="B54" s="5">
        <v>40</v>
      </c>
      <c r="C54" s="27"/>
      <c r="D54" s="27"/>
      <c r="E54" s="27"/>
      <c r="F54" s="25" t="s">
        <v>86</v>
      </c>
      <c r="G54" s="7" t="s">
        <v>78</v>
      </c>
      <c r="H54" s="5" t="s">
        <v>20</v>
      </c>
      <c r="I54" s="6"/>
      <c r="J54" s="8"/>
      <c r="K54" s="6"/>
      <c r="L54" s="6"/>
      <c r="M54" s="6"/>
      <c r="N54" s="6"/>
    </row>
    <row r="55" spans="2:14" ht="30">
      <c r="B55" s="5">
        <v>41</v>
      </c>
      <c r="C55" s="27"/>
      <c r="D55" s="27"/>
      <c r="E55" s="27"/>
      <c r="F55" s="25" t="s">
        <v>79</v>
      </c>
      <c r="G55" s="9" t="s">
        <v>80</v>
      </c>
      <c r="H55" s="5" t="s">
        <v>20</v>
      </c>
      <c r="I55" s="6"/>
      <c r="J55" s="8"/>
      <c r="K55" s="6"/>
      <c r="L55" s="6"/>
      <c r="M55" s="6"/>
      <c r="N55" s="6"/>
    </row>
    <row r="56" spans="2:14" ht="30">
      <c r="B56" s="5">
        <v>42</v>
      </c>
      <c r="C56" s="27"/>
      <c r="D56" s="27"/>
      <c r="E56" s="27"/>
      <c r="F56" s="25" t="s">
        <v>81</v>
      </c>
      <c r="G56" s="9" t="s">
        <v>80</v>
      </c>
      <c r="H56" s="5" t="s">
        <v>20</v>
      </c>
      <c r="I56" s="6"/>
      <c r="J56" s="8"/>
      <c r="K56" s="6"/>
      <c r="L56" s="6"/>
      <c r="M56" s="6"/>
      <c r="N56" s="6"/>
    </row>
    <row r="57" spans="2:14" ht="30">
      <c r="B57" s="5">
        <v>43</v>
      </c>
      <c r="C57" s="27"/>
      <c r="D57" s="27"/>
      <c r="E57" s="27"/>
      <c r="F57" s="25" t="s">
        <v>85</v>
      </c>
      <c r="G57" s="7" t="s">
        <v>78</v>
      </c>
      <c r="H57" s="5" t="s">
        <v>20</v>
      </c>
      <c r="I57" s="6"/>
      <c r="J57" s="8"/>
      <c r="K57" s="6"/>
      <c r="L57" s="6"/>
      <c r="M57" s="6"/>
      <c r="N57" s="6"/>
    </row>
    <row r="58" spans="2:14" ht="30">
      <c r="B58" s="5">
        <v>44</v>
      </c>
      <c r="C58" s="27"/>
      <c r="D58" s="27"/>
      <c r="E58" s="27"/>
      <c r="F58" s="25" t="s">
        <v>87</v>
      </c>
      <c r="G58" s="9" t="s">
        <v>80</v>
      </c>
      <c r="H58" s="5" t="s">
        <v>20</v>
      </c>
      <c r="I58" s="6"/>
      <c r="J58" s="8"/>
      <c r="K58" s="6"/>
      <c r="L58" s="6"/>
      <c r="M58" s="6"/>
      <c r="N58" s="6"/>
    </row>
    <row r="59" spans="2:14" ht="30">
      <c r="B59" s="5">
        <v>45</v>
      </c>
      <c r="C59" s="27"/>
      <c r="D59" s="27"/>
      <c r="E59" s="27"/>
      <c r="F59" s="25" t="s">
        <v>88</v>
      </c>
      <c r="G59" s="9" t="s">
        <v>80</v>
      </c>
      <c r="H59" s="5" t="s">
        <v>20</v>
      </c>
      <c r="I59" s="6"/>
      <c r="J59" s="8"/>
      <c r="K59" s="6"/>
      <c r="L59" s="6"/>
      <c r="M59" s="6"/>
      <c r="N59" s="6"/>
    </row>
    <row r="60" spans="2:14" ht="30">
      <c r="B60" s="5">
        <v>46</v>
      </c>
      <c r="C60" s="27"/>
      <c r="D60" s="27"/>
      <c r="E60" s="27"/>
      <c r="F60" s="25" t="s">
        <v>89</v>
      </c>
      <c r="G60" s="9" t="s">
        <v>80</v>
      </c>
      <c r="H60" s="5" t="s">
        <v>20</v>
      </c>
      <c r="I60" s="6"/>
      <c r="J60" s="8"/>
      <c r="K60" s="6"/>
      <c r="L60" s="6"/>
      <c r="M60" s="6"/>
      <c r="N60" s="6"/>
    </row>
    <row r="61" spans="2:14" ht="30">
      <c r="B61" s="5">
        <v>47</v>
      </c>
      <c r="C61" s="27"/>
      <c r="D61" s="27"/>
      <c r="E61" s="27"/>
      <c r="F61" s="25" t="s">
        <v>90</v>
      </c>
      <c r="G61" s="7" t="s">
        <v>78</v>
      </c>
      <c r="H61" s="5" t="s">
        <v>20</v>
      </c>
      <c r="I61" s="6"/>
      <c r="J61" s="8"/>
      <c r="K61" s="6"/>
      <c r="L61" s="6"/>
      <c r="M61" s="6"/>
      <c r="N61" s="6"/>
    </row>
    <row r="62" spans="2:14" ht="30">
      <c r="B62" s="5">
        <v>48</v>
      </c>
      <c r="C62" s="27"/>
      <c r="D62" s="27"/>
      <c r="E62" s="27"/>
      <c r="F62" s="25" t="s">
        <v>91</v>
      </c>
      <c r="G62" s="9" t="s">
        <v>80</v>
      </c>
      <c r="H62" s="5" t="s">
        <v>20</v>
      </c>
      <c r="I62" s="6"/>
      <c r="J62" s="8"/>
      <c r="K62" s="6"/>
      <c r="L62" s="6"/>
      <c r="M62" s="6"/>
      <c r="N62" s="6"/>
    </row>
    <row r="63" spans="2:14" ht="90">
      <c r="B63" s="5">
        <v>49</v>
      </c>
      <c r="C63" s="27"/>
      <c r="D63" s="27"/>
      <c r="E63" s="27"/>
      <c r="F63" s="25" t="s">
        <v>82</v>
      </c>
      <c r="G63" s="9" t="s">
        <v>80</v>
      </c>
      <c r="H63" s="5" t="s">
        <v>20</v>
      </c>
      <c r="I63" s="6"/>
      <c r="J63" s="8"/>
      <c r="K63" s="6"/>
      <c r="L63" s="6"/>
      <c r="M63" s="6"/>
      <c r="N63" s="6"/>
    </row>
    <row r="64" spans="2:14" ht="90">
      <c r="B64" s="5">
        <v>50</v>
      </c>
      <c r="C64" s="27"/>
      <c r="D64" s="27"/>
      <c r="E64" s="27"/>
      <c r="F64" s="25" t="s">
        <v>83</v>
      </c>
      <c r="G64" s="9" t="s">
        <v>80</v>
      </c>
      <c r="H64" s="5" t="s">
        <v>20</v>
      </c>
      <c r="I64" s="6"/>
      <c r="J64" s="8"/>
      <c r="K64" s="6"/>
      <c r="L64" s="6"/>
      <c r="M64" s="6"/>
      <c r="N64" s="6"/>
    </row>
    <row r="65" spans="2:14" ht="90">
      <c r="B65" s="5">
        <v>51</v>
      </c>
      <c r="C65" s="27"/>
      <c r="D65" s="27"/>
      <c r="E65" s="27"/>
      <c r="F65" s="25" t="s">
        <v>92</v>
      </c>
      <c r="G65" s="9" t="s">
        <v>80</v>
      </c>
      <c r="H65" s="5" t="s">
        <v>20</v>
      </c>
      <c r="I65" s="6"/>
      <c r="J65" s="8"/>
      <c r="K65" s="6"/>
      <c r="L65" s="6"/>
      <c r="M65" s="6"/>
      <c r="N65" s="6"/>
    </row>
    <row r="66" spans="2:14" ht="90">
      <c r="B66" s="5">
        <v>52</v>
      </c>
      <c r="C66" s="28"/>
      <c r="D66" s="28"/>
      <c r="E66" s="28"/>
      <c r="F66" s="25" t="s">
        <v>84</v>
      </c>
      <c r="G66" s="9" t="s">
        <v>80</v>
      </c>
      <c r="H66" s="5" t="s">
        <v>20</v>
      </c>
      <c r="I66" s="6"/>
      <c r="J66" s="8"/>
      <c r="K66" s="6"/>
      <c r="L66" s="6"/>
      <c r="M66" s="6"/>
      <c r="N66" s="6"/>
    </row>
    <row r="67" spans="2:14">
      <c r="B67" s="5">
        <v>53</v>
      </c>
      <c r="C67" s="26" t="s">
        <v>13</v>
      </c>
      <c r="D67" s="26" t="s">
        <v>76</v>
      </c>
      <c r="E67" s="26" t="s">
        <v>43</v>
      </c>
      <c r="F67" s="25" t="s">
        <v>93</v>
      </c>
      <c r="G67" s="7" t="s">
        <v>94</v>
      </c>
      <c r="H67" s="5" t="s">
        <v>20</v>
      </c>
      <c r="I67" s="6"/>
      <c r="J67" s="8"/>
      <c r="K67" s="6"/>
      <c r="L67" s="6"/>
      <c r="M67" s="6"/>
      <c r="N67" s="6"/>
    </row>
    <row r="68" spans="2:14">
      <c r="B68" s="5">
        <v>54</v>
      </c>
      <c r="C68" s="28"/>
      <c r="D68" s="28"/>
      <c r="E68" s="28"/>
      <c r="F68" s="25" t="s">
        <v>95</v>
      </c>
      <c r="G68" s="9" t="s">
        <v>80</v>
      </c>
      <c r="H68" s="5" t="s">
        <v>20</v>
      </c>
      <c r="I68" s="6"/>
      <c r="J68" s="8"/>
      <c r="K68" s="6"/>
      <c r="L68" s="6"/>
      <c r="M68" s="6"/>
      <c r="N68" s="6"/>
    </row>
    <row r="71" spans="2:14" ht="19.8">
      <c r="B71" s="11" t="s">
        <v>37</v>
      </c>
    </row>
    <row r="73" spans="2:14">
      <c r="B73" s="15" t="s">
        <v>33</v>
      </c>
      <c r="C73" s="16"/>
      <c r="D73" s="3" t="str">
        <f>定義!$B$4</f>
        <v>1.0.4</v>
      </c>
    </row>
    <row r="74" spans="2:14">
      <c r="B74" s="17" t="s">
        <v>36</v>
      </c>
      <c r="C74" s="18"/>
      <c r="D74" s="3">
        <f>COUNT($B84:$B136)</f>
        <v>53</v>
      </c>
    </row>
    <row r="75" spans="2:14">
      <c r="B75" s="19" t="s">
        <v>35</v>
      </c>
      <c r="C75" s="20"/>
      <c r="D75" s="13">
        <f xml:space="preserve"> D78 / COUNT($B84:$B136)</f>
        <v>0</v>
      </c>
    </row>
    <row r="76" spans="2:14">
      <c r="B76" s="19" t="s">
        <v>20</v>
      </c>
      <c r="C76" s="20"/>
      <c r="D76" s="12">
        <f>COUNTIF($H$84:$H$136,"未着手")</f>
        <v>53</v>
      </c>
    </row>
    <row r="77" spans="2:14">
      <c r="B77" s="19" t="s">
        <v>21</v>
      </c>
      <c r="C77" s="20"/>
      <c r="D77" s="12">
        <f>COUNTIF($H$84:$H$136,"進行中")</f>
        <v>0</v>
      </c>
    </row>
    <row r="78" spans="2:14">
      <c r="B78" s="19" t="s">
        <v>34</v>
      </c>
      <c r="C78" s="20"/>
      <c r="D78" s="12">
        <f>COUNTIF($H$84:$H$136,"確認完了")</f>
        <v>0</v>
      </c>
    </row>
    <row r="79" spans="2:14">
      <c r="B79" s="19" t="s">
        <v>23</v>
      </c>
      <c r="C79" s="20"/>
      <c r="D79" s="12">
        <f>COUNTIF($H$84:$H$136,"確認不可")</f>
        <v>0</v>
      </c>
    </row>
    <row r="80" spans="2:14">
      <c r="B80" s="19" t="s">
        <v>24</v>
      </c>
      <c r="C80" s="20"/>
      <c r="D80" s="12">
        <f>COUNTIF($H$84:$H$136,"NG")</f>
        <v>0</v>
      </c>
    </row>
    <row r="82" spans="2:14">
      <c r="B82" s="14" t="s">
        <v>0</v>
      </c>
      <c r="C82" s="14" t="s">
        <v>1</v>
      </c>
      <c r="D82" s="14"/>
      <c r="E82" s="14"/>
      <c r="F82" s="14"/>
      <c r="G82" s="21"/>
      <c r="H82" s="22" t="s">
        <v>14</v>
      </c>
      <c r="I82" s="14" t="s">
        <v>5</v>
      </c>
      <c r="J82" s="24" t="s">
        <v>2</v>
      </c>
      <c r="K82" s="14" t="s">
        <v>6</v>
      </c>
      <c r="L82" s="14" t="s">
        <v>3</v>
      </c>
      <c r="M82" s="14" t="s">
        <v>4</v>
      </c>
      <c r="N82" s="14" t="s">
        <v>7</v>
      </c>
    </row>
    <row r="83" spans="2:14">
      <c r="B83" s="14"/>
      <c r="C83" s="1" t="s">
        <v>38</v>
      </c>
      <c r="D83" s="1" t="s">
        <v>39</v>
      </c>
      <c r="E83" s="1" t="s">
        <v>40</v>
      </c>
      <c r="F83" s="1" t="s">
        <v>41</v>
      </c>
      <c r="G83" s="2" t="s">
        <v>8</v>
      </c>
      <c r="H83" s="23"/>
      <c r="I83" s="14"/>
      <c r="J83" s="24"/>
      <c r="K83" s="14"/>
      <c r="L83" s="14"/>
      <c r="M83" s="14"/>
      <c r="N83" s="14"/>
    </row>
    <row r="84" spans="2:14">
      <c r="B84" s="5">
        <v>1</v>
      </c>
      <c r="C84" s="26" t="s">
        <v>9</v>
      </c>
      <c r="D84" s="26" t="s">
        <v>42</v>
      </c>
      <c r="E84" s="5" t="s">
        <v>43</v>
      </c>
      <c r="F84" s="25" t="s">
        <v>44</v>
      </c>
      <c r="G84" s="7" t="s">
        <v>45</v>
      </c>
      <c r="H84" s="5" t="s">
        <v>20</v>
      </c>
      <c r="I84" s="6"/>
      <c r="J84" s="8"/>
      <c r="K84" s="6"/>
      <c r="L84" s="6"/>
      <c r="M84" s="6"/>
      <c r="N84" s="6"/>
    </row>
    <row r="85" spans="2:14">
      <c r="B85" s="5">
        <v>2</v>
      </c>
      <c r="C85" s="27"/>
      <c r="D85" s="27"/>
      <c r="E85" s="26" t="s">
        <v>46</v>
      </c>
      <c r="F85" s="25" t="s">
        <v>47</v>
      </c>
      <c r="G85" s="7" t="s">
        <v>48</v>
      </c>
      <c r="H85" s="5" t="s">
        <v>20</v>
      </c>
      <c r="I85" s="6"/>
      <c r="J85" s="8"/>
      <c r="K85" s="6"/>
      <c r="L85" s="6"/>
      <c r="M85" s="6"/>
      <c r="N85" s="6"/>
    </row>
    <row r="86" spans="2:14">
      <c r="B86" s="5">
        <v>3</v>
      </c>
      <c r="C86" s="27"/>
      <c r="D86" s="27"/>
      <c r="E86" s="28"/>
      <c r="F86" s="25" t="s">
        <v>47</v>
      </c>
      <c r="G86" s="7" t="s">
        <v>49</v>
      </c>
      <c r="H86" s="5" t="s">
        <v>20</v>
      </c>
      <c r="I86" s="6"/>
      <c r="J86" s="8"/>
      <c r="K86" s="6"/>
      <c r="L86" s="6"/>
      <c r="M86" s="6"/>
      <c r="N86" s="6"/>
    </row>
    <row r="87" spans="2:14" ht="30">
      <c r="B87" s="5">
        <v>5</v>
      </c>
      <c r="C87" s="28"/>
      <c r="D87" s="28"/>
      <c r="E87" s="29" t="s">
        <v>50</v>
      </c>
      <c r="F87" s="25" t="s">
        <v>53</v>
      </c>
      <c r="G87" s="7" t="s">
        <v>49</v>
      </c>
      <c r="H87" s="5" t="s">
        <v>20</v>
      </c>
      <c r="I87" s="6"/>
      <c r="J87" s="8"/>
      <c r="K87" s="6"/>
      <c r="L87" s="6"/>
      <c r="M87" s="6"/>
      <c r="N87" s="6"/>
    </row>
    <row r="88" spans="2:14">
      <c r="B88" s="5">
        <v>6</v>
      </c>
      <c r="C88" s="26" t="s">
        <v>10</v>
      </c>
      <c r="D88" s="26" t="s">
        <v>42</v>
      </c>
      <c r="E88" s="5" t="s">
        <v>43</v>
      </c>
      <c r="F88" s="25" t="s">
        <v>54</v>
      </c>
      <c r="G88" s="7" t="s">
        <v>55</v>
      </c>
      <c r="H88" s="5" t="s">
        <v>20</v>
      </c>
      <c r="I88" s="6"/>
      <c r="J88" s="8"/>
      <c r="K88" s="6"/>
      <c r="L88" s="6"/>
      <c r="M88" s="6"/>
      <c r="N88" s="6"/>
    </row>
    <row r="89" spans="2:14">
      <c r="B89" s="5">
        <v>7</v>
      </c>
      <c r="C89" s="27"/>
      <c r="D89" s="27"/>
      <c r="E89" s="26" t="s">
        <v>56</v>
      </c>
      <c r="F89" s="25" t="s">
        <v>58</v>
      </c>
      <c r="G89" s="7" t="s">
        <v>57</v>
      </c>
      <c r="H89" s="5" t="s">
        <v>20</v>
      </c>
      <c r="I89" s="6"/>
      <c r="J89" s="8"/>
      <c r="K89" s="6"/>
      <c r="L89" s="6"/>
      <c r="M89" s="6"/>
      <c r="N89" s="6"/>
    </row>
    <row r="90" spans="2:14">
      <c r="B90" s="5">
        <v>8</v>
      </c>
      <c r="C90" s="27"/>
      <c r="D90" s="27"/>
      <c r="E90" s="27"/>
      <c r="F90" s="25" t="s">
        <v>59</v>
      </c>
      <c r="G90" s="7" t="s">
        <v>57</v>
      </c>
      <c r="H90" s="5" t="s">
        <v>20</v>
      </c>
      <c r="I90" s="6"/>
      <c r="J90" s="8"/>
      <c r="K90" s="6"/>
      <c r="L90" s="6"/>
      <c r="M90" s="6"/>
      <c r="N90" s="6"/>
    </row>
    <row r="91" spans="2:14">
      <c r="B91" s="5">
        <v>9</v>
      </c>
      <c r="C91" s="27"/>
      <c r="D91" s="27"/>
      <c r="E91" s="27"/>
      <c r="F91" s="25" t="s">
        <v>60</v>
      </c>
      <c r="G91" s="7" t="s">
        <v>57</v>
      </c>
      <c r="H91" s="5" t="s">
        <v>20</v>
      </c>
      <c r="I91" s="6"/>
      <c r="J91" s="8"/>
      <c r="K91" s="6"/>
      <c r="L91" s="6"/>
      <c r="M91" s="6"/>
      <c r="N91" s="6"/>
    </row>
    <row r="92" spans="2:14">
      <c r="B92" s="5">
        <v>10</v>
      </c>
      <c r="C92" s="27"/>
      <c r="D92" s="27"/>
      <c r="E92" s="27"/>
      <c r="F92" s="25" t="s">
        <v>61</v>
      </c>
      <c r="G92" s="7" t="s">
        <v>57</v>
      </c>
      <c r="H92" s="5" t="s">
        <v>20</v>
      </c>
      <c r="I92" s="6"/>
      <c r="J92" s="8"/>
      <c r="K92" s="6"/>
      <c r="L92" s="6"/>
      <c r="M92" s="6"/>
      <c r="N92" s="6"/>
    </row>
    <row r="93" spans="2:14">
      <c r="B93" s="5">
        <v>11</v>
      </c>
      <c r="C93" s="27"/>
      <c r="D93" s="27"/>
      <c r="E93" s="27"/>
      <c r="F93" s="25" t="s">
        <v>62</v>
      </c>
      <c r="G93" s="7" t="s">
        <v>57</v>
      </c>
      <c r="H93" s="5" t="s">
        <v>20</v>
      </c>
      <c r="I93" s="6"/>
      <c r="J93" s="8"/>
      <c r="K93" s="6"/>
      <c r="L93" s="6"/>
      <c r="M93" s="6"/>
      <c r="N93" s="6"/>
    </row>
    <row r="94" spans="2:14">
      <c r="B94" s="5">
        <v>12</v>
      </c>
      <c r="C94" s="27"/>
      <c r="D94" s="27"/>
      <c r="E94" s="27"/>
      <c r="F94" s="25" t="s">
        <v>63</v>
      </c>
      <c r="G94" s="7" t="s">
        <v>57</v>
      </c>
      <c r="H94" s="5" t="s">
        <v>20</v>
      </c>
      <c r="I94" s="6"/>
      <c r="J94" s="8"/>
      <c r="K94" s="6"/>
      <c r="L94" s="6"/>
      <c r="M94" s="6"/>
      <c r="N94" s="6"/>
    </row>
    <row r="95" spans="2:14">
      <c r="B95" s="5">
        <v>13</v>
      </c>
      <c r="C95" s="27"/>
      <c r="D95" s="27"/>
      <c r="E95" s="27"/>
      <c r="F95" s="25" t="s">
        <v>64</v>
      </c>
      <c r="G95" s="7" t="s">
        <v>57</v>
      </c>
      <c r="H95" s="5" t="s">
        <v>20</v>
      </c>
      <c r="I95" s="6"/>
      <c r="J95" s="8"/>
      <c r="K95" s="6"/>
      <c r="L95" s="6"/>
      <c r="M95" s="6"/>
      <c r="N95" s="6"/>
    </row>
    <row r="96" spans="2:14">
      <c r="B96" s="5">
        <v>14</v>
      </c>
      <c r="C96" s="27"/>
      <c r="D96" s="27"/>
      <c r="E96" s="27"/>
      <c r="F96" s="25" t="s">
        <v>65</v>
      </c>
      <c r="G96" s="7" t="s">
        <v>67</v>
      </c>
      <c r="H96" s="5" t="s">
        <v>20</v>
      </c>
      <c r="I96" s="6"/>
      <c r="J96" s="8"/>
      <c r="K96" s="6"/>
      <c r="L96" s="6"/>
      <c r="M96" s="6"/>
      <c r="N96" s="6"/>
    </row>
    <row r="97" spans="2:14">
      <c r="B97" s="5">
        <v>15</v>
      </c>
      <c r="C97" s="27"/>
      <c r="D97" s="27"/>
      <c r="E97" s="28"/>
      <c r="F97" s="25" t="s">
        <v>66</v>
      </c>
      <c r="G97" s="7" t="s">
        <v>67</v>
      </c>
      <c r="H97" s="5" t="s">
        <v>20</v>
      </c>
      <c r="I97" s="6"/>
      <c r="J97" s="8"/>
      <c r="K97" s="6"/>
      <c r="L97" s="6"/>
      <c r="M97" s="6"/>
      <c r="N97" s="6"/>
    </row>
    <row r="98" spans="2:14" ht="30">
      <c r="B98" s="5">
        <v>16</v>
      </c>
      <c r="C98" s="28"/>
      <c r="D98" s="28"/>
      <c r="E98" s="5" t="s">
        <v>68</v>
      </c>
      <c r="F98" s="25" t="s">
        <v>70</v>
      </c>
      <c r="G98" s="7" t="s">
        <v>69</v>
      </c>
      <c r="H98" s="5" t="s">
        <v>20</v>
      </c>
      <c r="I98" s="6"/>
      <c r="J98" s="8"/>
      <c r="K98" s="6"/>
      <c r="L98" s="6"/>
      <c r="M98" s="6"/>
      <c r="N98" s="6"/>
    </row>
    <row r="99" spans="2:14">
      <c r="B99" s="5">
        <v>17</v>
      </c>
      <c r="C99" s="26" t="s">
        <v>11</v>
      </c>
      <c r="D99" s="26" t="s">
        <v>42</v>
      </c>
      <c r="E99" s="5" t="s">
        <v>43</v>
      </c>
      <c r="F99" s="25" t="s">
        <v>71</v>
      </c>
      <c r="G99" s="7" t="s">
        <v>55</v>
      </c>
      <c r="H99" s="5" t="s">
        <v>20</v>
      </c>
      <c r="I99" s="6"/>
      <c r="J99" s="8"/>
      <c r="K99" s="6"/>
      <c r="L99" s="6"/>
      <c r="M99" s="6"/>
      <c r="N99" s="6"/>
    </row>
    <row r="100" spans="2:14">
      <c r="B100" s="5">
        <v>18</v>
      </c>
      <c r="C100" s="27"/>
      <c r="D100" s="27"/>
      <c r="E100" s="26" t="s">
        <v>56</v>
      </c>
      <c r="F100" s="25" t="s">
        <v>58</v>
      </c>
      <c r="G100" s="7" t="s">
        <v>57</v>
      </c>
      <c r="H100" s="5" t="s">
        <v>20</v>
      </c>
      <c r="I100" s="6"/>
      <c r="J100" s="8"/>
      <c r="K100" s="6"/>
      <c r="L100" s="6"/>
      <c r="M100" s="6"/>
      <c r="N100" s="6"/>
    </row>
    <row r="101" spans="2:14">
      <c r="B101" s="5">
        <v>19</v>
      </c>
      <c r="C101" s="27"/>
      <c r="D101" s="27"/>
      <c r="E101" s="27"/>
      <c r="F101" s="25" t="s">
        <v>59</v>
      </c>
      <c r="G101" s="7" t="s">
        <v>57</v>
      </c>
      <c r="H101" s="5" t="s">
        <v>20</v>
      </c>
      <c r="I101" s="6"/>
      <c r="J101" s="8"/>
      <c r="K101" s="6"/>
      <c r="L101" s="6"/>
      <c r="M101" s="6"/>
      <c r="N101" s="6"/>
    </row>
    <row r="102" spans="2:14">
      <c r="B102" s="5">
        <v>20</v>
      </c>
      <c r="C102" s="27"/>
      <c r="D102" s="27"/>
      <c r="E102" s="27"/>
      <c r="F102" s="25" t="s">
        <v>60</v>
      </c>
      <c r="G102" s="7" t="s">
        <v>57</v>
      </c>
      <c r="H102" s="5" t="s">
        <v>20</v>
      </c>
      <c r="I102" s="6"/>
      <c r="J102" s="8"/>
      <c r="K102" s="6"/>
      <c r="L102" s="6"/>
      <c r="M102" s="6"/>
      <c r="N102" s="6"/>
    </row>
    <row r="103" spans="2:14">
      <c r="B103" s="5">
        <v>21</v>
      </c>
      <c r="C103" s="27"/>
      <c r="D103" s="27"/>
      <c r="E103" s="27"/>
      <c r="F103" s="25" t="s">
        <v>61</v>
      </c>
      <c r="G103" s="7" t="s">
        <v>57</v>
      </c>
      <c r="H103" s="5" t="s">
        <v>20</v>
      </c>
      <c r="I103" s="6"/>
      <c r="J103" s="8"/>
      <c r="K103" s="6"/>
      <c r="L103" s="6"/>
      <c r="M103" s="6"/>
      <c r="N103" s="6"/>
    </row>
    <row r="104" spans="2:14">
      <c r="B104" s="5">
        <v>22</v>
      </c>
      <c r="C104" s="27"/>
      <c r="D104" s="27"/>
      <c r="E104" s="27"/>
      <c r="F104" s="25" t="s">
        <v>62</v>
      </c>
      <c r="G104" s="7" t="s">
        <v>57</v>
      </c>
      <c r="H104" s="5" t="s">
        <v>20</v>
      </c>
      <c r="I104" s="6"/>
      <c r="J104" s="8"/>
      <c r="K104" s="6"/>
      <c r="L104" s="6"/>
      <c r="M104" s="6"/>
      <c r="N104" s="6"/>
    </row>
    <row r="105" spans="2:14">
      <c r="B105" s="5">
        <v>23</v>
      </c>
      <c r="C105" s="27"/>
      <c r="D105" s="27"/>
      <c r="E105" s="27"/>
      <c r="F105" s="25" t="s">
        <v>63</v>
      </c>
      <c r="G105" s="7" t="s">
        <v>57</v>
      </c>
      <c r="H105" s="5" t="s">
        <v>20</v>
      </c>
      <c r="I105" s="6"/>
      <c r="J105" s="8"/>
      <c r="K105" s="6"/>
      <c r="L105" s="6"/>
      <c r="M105" s="6"/>
      <c r="N105" s="6"/>
    </row>
    <row r="106" spans="2:14">
      <c r="B106" s="5">
        <v>24</v>
      </c>
      <c r="C106" s="27"/>
      <c r="D106" s="27"/>
      <c r="E106" s="27"/>
      <c r="F106" s="25" t="s">
        <v>64</v>
      </c>
      <c r="G106" s="7" t="s">
        <v>57</v>
      </c>
      <c r="H106" s="5" t="s">
        <v>20</v>
      </c>
      <c r="I106" s="6"/>
      <c r="J106" s="8"/>
      <c r="K106" s="6"/>
      <c r="L106" s="6"/>
      <c r="M106" s="6"/>
      <c r="N106" s="6"/>
    </row>
    <row r="107" spans="2:14">
      <c r="B107" s="5">
        <v>25</v>
      </c>
      <c r="C107" s="27"/>
      <c r="D107" s="27"/>
      <c r="E107" s="27"/>
      <c r="F107" s="25" t="s">
        <v>65</v>
      </c>
      <c r="G107" s="7" t="s">
        <v>67</v>
      </c>
      <c r="H107" s="5" t="s">
        <v>20</v>
      </c>
      <c r="I107" s="6"/>
      <c r="J107" s="8"/>
      <c r="K107" s="6"/>
      <c r="L107" s="6"/>
      <c r="M107" s="6"/>
      <c r="N107" s="6"/>
    </row>
    <row r="108" spans="2:14">
      <c r="B108" s="5">
        <v>26</v>
      </c>
      <c r="C108" s="27"/>
      <c r="D108" s="27"/>
      <c r="E108" s="28"/>
      <c r="F108" s="25" t="s">
        <v>66</v>
      </c>
      <c r="G108" s="7" t="s">
        <v>67</v>
      </c>
      <c r="H108" s="5" t="s">
        <v>20</v>
      </c>
      <c r="I108" s="6"/>
      <c r="J108" s="8"/>
      <c r="K108" s="6"/>
      <c r="L108" s="6"/>
      <c r="M108" s="6"/>
      <c r="N108" s="6"/>
    </row>
    <row r="109" spans="2:14" ht="30">
      <c r="B109" s="5">
        <v>27</v>
      </c>
      <c r="C109" s="28"/>
      <c r="D109" s="28"/>
      <c r="E109" s="5" t="s">
        <v>68</v>
      </c>
      <c r="F109" s="25" t="s">
        <v>70</v>
      </c>
      <c r="G109" s="7" t="s">
        <v>69</v>
      </c>
      <c r="H109" s="5" t="s">
        <v>20</v>
      </c>
      <c r="I109" s="6"/>
      <c r="J109" s="8"/>
      <c r="K109" s="6"/>
      <c r="L109" s="6"/>
      <c r="M109" s="6"/>
      <c r="N109" s="6"/>
    </row>
    <row r="110" spans="2:14">
      <c r="B110" s="5">
        <v>28</v>
      </c>
      <c r="C110" s="26" t="s">
        <v>74</v>
      </c>
      <c r="D110" s="26" t="s">
        <v>42</v>
      </c>
      <c r="E110" s="5" t="s">
        <v>43</v>
      </c>
      <c r="F110" s="25" t="s">
        <v>75</v>
      </c>
      <c r="G110" s="7" t="s">
        <v>55</v>
      </c>
      <c r="H110" s="5" t="s">
        <v>20</v>
      </c>
      <c r="I110" s="6"/>
      <c r="J110" s="8"/>
      <c r="K110" s="6"/>
      <c r="L110" s="6"/>
      <c r="M110" s="6"/>
      <c r="N110" s="6"/>
    </row>
    <row r="111" spans="2:14">
      <c r="B111" s="5">
        <v>29</v>
      </c>
      <c r="C111" s="27"/>
      <c r="D111" s="27"/>
      <c r="E111" s="26" t="s">
        <v>56</v>
      </c>
      <c r="F111" s="25" t="s">
        <v>58</v>
      </c>
      <c r="G111" s="7" t="s">
        <v>72</v>
      </c>
      <c r="H111" s="5" t="s">
        <v>20</v>
      </c>
      <c r="I111" s="6"/>
      <c r="J111" s="8"/>
      <c r="K111" s="6"/>
      <c r="L111" s="6"/>
      <c r="M111" s="6"/>
      <c r="N111" s="6"/>
    </row>
    <row r="112" spans="2:14">
      <c r="B112" s="5">
        <v>30</v>
      </c>
      <c r="C112" s="27"/>
      <c r="D112" s="27"/>
      <c r="E112" s="27"/>
      <c r="F112" s="25" t="s">
        <v>59</v>
      </c>
      <c r="G112" s="7" t="s">
        <v>72</v>
      </c>
      <c r="H112" s="5" t="s">
        <v>20</v>
      </c>
      <c r="I112" s="6"/>
      <c r="J112" s="8"/>
      <c r="K112" s="6"/>
      <c r="L112" s="6"/>
      <c r="M112" s="6"/>
      <c r="N112" s="6"/>
    </row>
    <row r="113" spans="2:14">
      <c r="B113" s="5">
        <v>31</v>
      </c>
      <c r="C113" s="27"/>
      <c r="D113" s="27"/>
      <c r="E113" s="27"/>
      <c r="F113" s="25" t="s">
        <v>60</v>
      </c>
      <c r="G113" s="7" t="s">
        <v>72</v>
      </c>
      <c r="H113" s="5" t="s">
        <v>20</v>
      </c>
      <c r="I113" s="6"/>
      <c r="J113" s="8"/>
      <c r="K113" s="6"/>
      <c r="L113" s="6"/>
      <c r="M113" s="6"/>
      <c r="N113" s="6"/>
    </row>
    <row r="114" spans="2:14">
      <c r="B114" s="5">
        <v>32</v>
      </c>
      <c r="C114" s="27"/>
      <c r="D114" s="27"/>
      <c r="E114" s="27"/>
      <c r="F114" s="25" t="s">
        <v>61</v>
      </c>
      <c r="G114" s="7" t="s">
        <v>72</v>
      </c>
      <c r="H114" s="5" t="s">
        <v>20</v>
      </c>
      <c r="I114" s="6"/>
      <c r="J114" s="8"/>
      <c r="K114" s="6"/>
      <c r="L114" s="6"/>
      <c r="M114" s="6"/>
      <c r="N114" s="6"/>
    </row>
    <row r="115" spans="2:14">
      <c r="B115" s="5">
        <v>33</v>
      </c>
      <c r="C115" s="27"/>
      <c r="D115" s="27"/>
      <c r="E115" s="27"/>
      <c r="F115" s="25" t="s">
        <v>62</v>
      </c>
      <c r="G115" s="7" t="s">
        <v>72</v>
      </c>
      <c r="H115" s="5" t="s">
        <v>20</v>
      </c>
      <c r="I115" s="6"/>
      <c r="J115" s="8"/>
      <c r="K115" s="6"/>
      <c r="L115" s="6"/>
      <c r="M115" s="6"/>
      <c r="N115" s="6"/>
    </row>
    <row r="116" spans="2:14">
      <c r="B116" s="5">
        <v>34</v>
      </c>
      <c r="C116" s="27"/>
      <c r="D116" s="27"/>
      <c r="E116" s="27"/>
      <c r="F116" s="25" t="s">
        <v>63</v>
      </c>
      <c r="G116" s="7" t="s">
        <v>72</v>
      </c>
      <c r="H116" s="5" t="s">
        <v>20</v>
      </c>
      <c r="I116" s="6"/>
      <c r="J116" s="8"/>
      <c r="K116" s="6"/>
      <c r="L116" s="6"/>
      <c r="M116" s="6"/>
      <c r="N116" s="6"/>
    </row>
    <row r="117" spans="2:14">
      <c r="B117" s="5">
        <v>35</v>
      </c>
      <c r="C117" s="27"/>
      <c r="D117" s="27"/>
      <c r="E117" s="27"/>
      <c r="F117" s="25" t="s">
        <v>64</v>
      </c>
      <c r="G117" s="7" t="s">
        <v>72</v>
      </c>
      <c r="H117" s="5" t="s">
        <v>20</v>
      </c>
      <c r="I117" s="6"/>
      <c r="J117" s="8"/>
      <c r="K117" s="6"/>
      <c r="L117" s="6"/>
      <c r="M117" s="6"/>
      <c r="N117" s="6"/>
    </row>
    <row r="118" spans="2:14">
      <c r="B118" s="5">
        <v>36</v>
      </c>
      <c r="C118" s="27"/>
      <c r="D118" s="27"/>
      <c r="E118" s="27"/>
      <c r="F118" s="25" t="s">
        <v>65</v>
      </c>
      <c r="G118" s="7" t="s">
        <v>73</v>
      </c>
      <c r="H118" s="5" t="s">
        <v>20</v>
      </c>
      <c r="I118" s="6"/>
      <c r="J118" s="8"/>
      <c r="K118" s="6"/>
      <c r="L118" s="6"/>
      <c r="M118" s="6"/>
      <c r="N118" s="6"/>
    </row>
    <row r="119" spans="2:14">
      <c r="B119" s="5">
        <v>37</v>
      </c>
      <c r="C119" s="27"/>
      <c r="D119" s="27"/>
      <c r="E119" s="28"/>
      <c r="F119" s="25" t="s">
        <v>66</v>
      </c>
      <c r="G119" s="7" t="s">
        <v>73</v>
      </c>
      <c r="H119" s="5" t="s">
        <v>20</v>
      </c>
      <c r="I119" s="6"/>
      <c r="J119" s="8"/>
      <c r="K119" s="6"/>
      <c r="L119" s="6"/>
      <c r="M119" s="6"/>
      <c r="N119" s="6"/>
    </row>
    <row r="120" spans="2:14" ht="30">
      <c r="B120" s="5">
        <v>38</v>
      </c>
      <c r="C120" s="28"/>
      <c r="D120" s="28"/>
      <c r="E120" s="5" t="s">
        <v>68</v>
      </c>
      <c r="F120" s="25" t="s">
        <v>70</v>
      </c>
      <c r="G120" s="7" t="s">
        <v>69</v>
      </c>
      <c r="H120" s="5" t="s">
        <v>20</v>
      </c>
      <c r="I120" s="6"/>
      <c r="J120" s="8"/>
      <c r="K120" s="6"/>
      <c r="L120" s="6"/>
      <c r="M120" s="6"/>
      <c r="N120" s="6"/>
    </row>
    <row r="121" spans="2:14" ht="30">
      <c r="B121" s="5">
        <v>39</v>
      </c>
      <c r="C121" s="26" t="s">
        <v>12</v>
      </c>
      <c r="D121" s="26" t="s">
        <v>76</v>
      </c>
      <c r="E121" s="26" t="s">
        <v>43</v>
      </c>
      <c r="F121" s="25" t="s">
        <v>77</v>
      </c>
      <c r="G121" s="7" t="s">
        <v>78</v>
      </c>
      <c r="H121" s="5" t="s">
        <v>20</v>
      </c>
      <c r="I121" s="6"/>
      <c r="J121" s="8"/>
      <c r="K121" s="6"/>
      <c r="L121" s="6"/>
      <c r="M121" s="6"/>
      <c r="N121" s="6"/>
    </row>
    <row r="122" spans="2:14" ht="30">
      <c r="B122" s="5">
        <v>40</v>
      </c>
      <c r="C122" s="27"/>
      <c r="D122" s="27"/>
      <c r="E122" s="27"/>
      <c r="F122" s="25" t="s">
        <v>86</v>
      </c>
      <c r="G122" s="7" t="s">
        <v>78</v>
      </c>
      <c r="H122" s="5" t="s">
        <v>20</v>
      </c>
      <c r="I122" s="6"/>
      <c r="J122" s="8"/>
      <c r="K122" s="6"/>
      <c r="L122" s="6"/>
      <c r="M122" s="6"/>
      <c r="N122" s="6"/>
    </row>
    <row r="123" spans="2:14" ht="30">
      <c r="B123" s="5">
        <v>41</v>
      </c>
      <c r="C123" s="27"/>
      <c r="D123" s="27"/>
      <c r="E123" s="27"/>
      <c r="F123" s="25" t="s">
        <v>79</v>
      </c>
      <c r="G123" s="9" t="s">
        <v>80</v>
      </c>
      <c r="H123" s="5" t="s">
        <v>20</v>
      </c>
      <c r="I123" s="6"/>
      <c r="J123" s="8"/>
      <c r="K123" s="6"/>
      <c r="L123" s="6"/>
      <c r="M123" s="6"/>
      <c r="N123" s="6"/>
    </row>
    <row r="124" spans="2:14" ht="30">
      <c r="B124" s="5">
        <v>42</v>
      </c>
      <c r="C124" s="27"/>
      <c r="D124" s="27"/>
      <c r="E124" s="27"/>
      <c r="F124" s="25" t="s">
        <v>81</v>
      </c>
      <c r="G124" s="9" t="s">
        <v>80</v>
      </c>
      <c r="H124" s="5" t="s">
        <v>20</v>
      </c>
      <c r="I124" s="6"/>
      <c r="J124" s="8"/>
      <c r="K124" s="6"/>
      <c r="L124" s="6"/>
      <c r="M124" s="6"/>
      <c r="N124" s="6"/>
    </row>
    <row r="125" spans="2:14" ht="30">
      <c r="B125" s="5">
        <v>43</v>
      </c>
      <c r="C125" s="27"/>
      <c r="D125" s="27"/>
      <c r="E125" s="27"/>
      <c r="F125" s="25" t="s">
        <v>85</v>
      </c>
      <c r="G125" s="7" t="s">
        <v>78</v>
      </c>
      <c r="H125" s="5" t="s">
        <v>20</v>
      </c>
      <c r="I125" s="6"/>
      <c r="J125" s="8"/>
      <c r="K125" s="6"/>
      <c r="L125" s="6"/>
      <c r="M125" s="6"/>
      <c r="N125" s="6"/>
    </row>
    <row r="126" spans="2:14" ht="30">
      <c r="B126" s="5">
        <v>44</v>
      </c>
      <c r="C126" s="27"/>
      <c r="D126" s="27"/>
      <c r="E126" s="27"/>
      <c r="F126" s="25" t="s">
        <v>87</v>
      </c>
      <c r="G126" s="9" t="s">
        <v>80</v>
      </c>
      <c r="H126" s="5" t="s">
        <v>20</v>
      </c>
      <c r="I126" s="6"/>
      <c r="J126" s="8"/>
      <c r="K126" s="6"/>
      <c r="L126" s="6"/>
      <c r="M126" s="6"/>
      <c r="N126" s="6"/>
    </row>
    <row r="127" spans="2:14" ht="30">
      <c r="B127" s="5">
        <v>45</v>
      </c>
      <c r="C127" s="27"/>
      <c r="D127" s="27"/>
      <c r="E127" s="27"/>
      <c r="F127" s="25" t="s">
        <v>88</v>
      </c>
      <c r="G127" s="9" t="s">
        <v>80</v>
      </c>
      <c r="H127" s="5" t="s">
        <v>20</v>
      </c>
      <c r="I127" s="6"/>
      <c r="J127" s="8"/>
      <c r="K127" s="6"/>
      <c r="L127" s="6"/>
      <c r="M127" s="6"/>
      <c r="N127" s="6"/>
    </row>
    <row r="128" spans="2:14" ht="30">
      <c r="B128" s="5">
        <v>46</v>
      </c>
      <c r="C128" s="27"/>
      <c r="D128" s="27"/>
      <c r="E128" s="27"/>
      <c r="F128" s="25" t="s">
        <v>89</v>
      </c>
      <c r="G128" s="9" t="s">
        <v>80</v>
      </c>
      <c r="H128" s="5" t="s">
        <v>20</v>
      </c>
      <c r="I128" s="6"/>
      <c r="J128" s="8"/>
      <c r="K128" s="6"/>
      <c r="L128" s="6"/>
      <c r="M128" s="6"/>
      <c r="N128" s="6"/>
    </row>
    <row r="129" spans="2:14" ht="30">
      <c r="B129" s="5">
        <v>47</v>
      </c>
      <c r="C129" s="27"/>
      <c r="D129" s="27"/>
      <c r="E129" s="27"/>
      <c r="F129" s="25" t="s">
        <v>90</v>
      </c>
      <c r="G129" s="7" t="s">
        <v>78</v>
      </c>
      <c r="H129" s="5" t="s">
        <v>20</v>
      </c>
      <c r="I129" s="6"/>
      <c r="J129" s="8"/>
      <c r="K129" s="6"/>
      <c r="L129" s="6"/>
      <c r="M129" s="6"/>
      <c r="N129" s="6"/>
    </row>
    <row r="130" spans="2:14" ht="30">
      <c r="B130" s="5">
        <v>48</v>
      </c>
      <c r="C130" s="27"/>
      <c r="D130" s="27"/>
      <c r="E130" s="27"/>
      <c r="F130" s="25" t="s">
        <v>91</v>
      </c>
      <c r="G130" s="9" t="s">
        <v>80</v>
      </c>
      <c r="H130" s="5" t="s">
        <v>20</v>
      </c>
      <c r="I130" s="6"/>
      <c r="J130" s="8"/>
      <c r="K130" s="6"/>
      <c r="L130" s="6"/>
      <c r="M130" s="6"/>
      <c r="N130" s="6"/>
    </row>
    <row r="131" spans="2:14" ht="90">
      <c r="B131" s="5">
        <v>49</v>
      </c>
      <c r="C131" s="27"/>
      <c r="D131" s="27"/>
      <c r="E131" s="27"/>
      <c r="F131" s="25" t="s">
        <v>82</v>
      </c>
      <c r="G131" s="9" t="s">
        <v>80</v>
      </c>
      <c r="H131" s="5" t="s">
        <v>20</v>
      </c>
      <c r="I131" s="6"/>
      <c r="J131" s="8"/>
      <c r="K131" s="6"/>
      <c r="L131" s="6"/>
      <c r="M131" s="6"/>
      <c r="N131" s="6"/>
    </row>
    <row r="132" spans="2:14" ht="90">
      <c r="B132" s="5">
        <v>50</v>
      </c>
      <c r="C132" s="27"/>
      <c r="D132" s="27"/>
      <c r="E132" s="27"/>
      <c r="F132" s="25" t="s">
        <v>83</v>
      </c>
      <c r="G132" s="9" t="s">
        <v>80</v>
      </c>
      <c r="H132" s="5" t="s">
        <v>20</v>
      </c>
      <c r="I132" s="6"/>
      <c r="J132" s="8"/>
      <c r="K132" s="6"/>
      <c r="L132" s="6"/>
      <c r="M132" s="6"/>
      <c r="N132" s="6"/>
    </row>
    <row r="133" spans="2:14" ht="90">
      <c r="B133" s="5">
        <v>51</v>
      </c>
      <c r="C133" s="27"/>
      <c r="D133" s="27"/>
      <c r="E133" s="27"/>
      <c r="F133" s="25" t="s">
        <v>92</v>
      </c>
      <c r="G133" s="9" t="s">
        <v>80</v>
      </c>
      <c r="H133" s="5" t="s">
        <v>20</v>
      </c>
      <c r="I133" s="6"/>
      <c r="J133" s="8"/>
      <c r="K133" s="6"/>
      <c r="L133" s="6"/>
      <c r="M133" s="6"/>
      <c r="N133" s="6"/>
    </row>
    <row r="134" spans="2:14" ht="90">
      <c r="B134" s="5">
        <v>52</v>
      </c>
      <c r="C134" s="28"/>
      <c r="D134" s="28"/>
      <c r="E134" s="28"/>
      <c r="F134" s="25" t="s">
        <v>84</v>
      </c>
      <c r="G134" s="9" t="s">
        <v>80</v>
      </c>
      <c r="H134" s="5" t="s">
        <v>20</v>
      </c>
      <c r="I134" s="6"/>
      <c r="J134" s="8"/>
      <c r="K134" s="6"/>
      <c r="L134" s="6"/>
      <c r="M134" s="6"/>
      <c r="N134" s="6"/>
    </row>
    <row r="135" spans="2:14">
      <c r="B135" s="5">
        <v>53</v>
      </c>
      <c r="C135" s="26" t="s">
        <v>13</v>
      </c>
      <c r="D135" s="26" t="s">
        <v>76</v>
      </c>
      <c r="E135" s="26" t="s">
        <v>43</v>
      </c>
      <c r="F135" s="25" t="s">
        <v>93</v>
      </c>
      <c r="G135" s="7" t="s">
        <v>94</v>
      </c>
      <c r="H135" s="5" t="s">
        <v>20</v>
      </c>
      <c r="I135" s="6"/>
      <c r="J135" s="8"/>
      <c r="K135" s="6"/>
      <c r="L135" s="6"/>
      <c r="M135" s="6"/>
      <c r="N135" s="6"/>
    </row>
    <row r="136" spans="2:14">
      <c r="B136" s="5">
        <v>54</v>
      </c>
      <c r="C136" s="28"/>
      <c r="D136" s="28"/>
      <c r="E136" s="28"/>
      <c r="F136" s="25" t="s">
        <v>95</v>
      </c>
      <c r="G136" s="9" t="s">
        <v>80</v>
      </c>
      <c r="H136" s="5" t="s">
        <v>20</v>
      </c>
      <c r="I136" s="6"/>
      <c r="J136" s="8"/>
      <c r="K136" s="6"/>
      <c r="L136" s="6"/>
      <c r="M136" s="6"/>
      <c r="N136" s="6"/>
    </row>
  </sheetData>
  <mergeCells count="71">
    <mergeCell ref="C110:C120"/>
    <mergeCell ref="D110:D120"/>
    <mergeCell ref="E111:E119"/>
    <mergeCell ref="C121:C134"/>
    <mergeCell ref="D121:D134"/>
    <mergeCell ref="E121:E134"/>
    <mergeCell ref="C135:C136"/>
    <mergeCell ref="D135:D136"/>
    <mergeCell ref="E135:E136"/>
    <mergeCell ref="C88:C98"/>
    <mergeCell ref="D88:D98"/>
    <mergeCell ref="E89:E97"/>
    <mergeCell ref="C99:C109"/>
    <mergeCell ref="D99:D109"/>
    <mergeCell ref="E100:E108"/>
    <mergeCell ref="C84:C87"/>
    <mergeCell ref="D84:D87"/>
    <mergeCell ref="E85:E86"/>
    <mergeCell ref="E53:E66"/>
    <mergeCell ref="D53:D66"/>
    <mergeCell ref="C53:C66"/>
    <mergeCell ref="C67:C68"/>
    <mergeCell ref="D67:D68"/>
    <mergeCell ref="E67:E68"/>
    <mergeCell ref="C31:C41"/>
    <mergeCell ref="D31:D41"/>
    <mergeCell ref="E32:E40"/>
    <mergeCell ref="C42:C52"/>
    <mergeCell ref="D42:D52"/>
    <mergeCell ref="E43:E51"/>
    <mergeCell ref="K13:K14"/>
    <mergeCell ref="N13:N14"/>
    <mergeCell ref="C13:G13"/>
    <mergeCell ref="H13:H14"/>
    <mergeCell ref="B13:B14"/>
    <mergeCell ref="J13:J14"/>
    <mergeCell ref="L13:L14"/>
    <mergeCell ref="M13:M14"/>
    <mergeCell ref="I13:I14"/>
    <mergeCell ref="J82:J83"/>
    <mergeCell ref="B4:C4"/>
    <mergeCell ref="B7:C7"/>
    <mergeCell ref="B8:C8"/>
    <mergeCell ref="B9:C9"/>
    <mergeCell ref="B10:C10"/>
    <mergeCell ref="B11:C11"/>
    <mergeCell ref="B6:C6"/>
    <mergeCell ref="B5:C5"/>
    <mergeCell ref="C15:C19"/>
    <mergeCell ref="D15:D19"/>
    <mergeCell ref="E16:E17"/>
    <mergeCell ref="E18:E19"/>
    <mergeCell ref="C20:C30"/>
    <mergeCell ref="D20:D30"/>
    <mergeCell ref="E21:E29"/>
    <mergeCell ref="K82:K83"/>
    <mergeCell ref="L82:L83"/>
    <mergeCell ref="M82:M83"/>
    <mergeCell ref="N82:N83"/>
    <mergeCell ref="B73:C73"/>
    <mergeCell ref="B74:C74"/>
    <mergeCell ref="B75:C75"/>
    <mergeCell ref="B76:C76"/>
    <mergeCell ref="B77:C77"/>
    <mergeCell ref="B78:C78"/>
    <mergeCell ref="B79:C79"/>
    <mergeCell ref="B80:C80"/>
    <mergeCell ref="B82:B83"/>
    <mergeCell ref="C82:G82"/>
    <mergeCell ref="H82:H83"/>
    <mergeCell ref="I82:I83"/>
  </mergeCells>
  <phoneticPr fontId="1"/>
  <conditionalFormatting sqref="H15:H68 H84:H136">
    <cfRule type="expression" dxfId="3" priority="9">
      <formula>$H15="進行中"</formula>
    </cfRule>
  </conditionalFormatting>
  <conditionalFormatting sqref="H15:N68 H84:N136">
    <cfRule type="expression" dxfId="2" priority="10">
      <formula>$H15="NG"</formula>
    </cfRule>
    <cfRule type="expression" dxfId="1" priority="11">
      <formula>$H15="確認不可"</formula>
    </cfRule>
    <cfRule type="expression" dxfId="0" priority="12">
      <formula>$H15="確認完了"</formula>
    </cfRule>
  </conditionalFormatting>
  <pageMargins left="0.7" right="0.7" top="0.75" bottom="0.75" header="0.3" footer="0.3"/>
  <pageSetup paperSize="9" scale="38" orientation="portrait"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3AA89E0-9299-4C4B-8E15-E95B6B0A0BDB}">
          <x14:formula1>
            <xm:f>定義!$D$1:$D$5</xm:f>
          </x14:formula1>
          <xm:sqref>H15:H68 H84:H136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CB69C-9A71-41D8-97EF-A09E74209CE9}">
  <dimension ref="A1:E5"/>
  <sheetViews>
    <sheetView workbookViewId="0">
      <selection activeCell="B4" sqref="B4"/>
    </sheetView>
  </sheetViews>
  <sheetFormatPr defaultRowHeight="18"/>
  <sheetData>
    <row r="1" spans="1:5">
      <c r="A1" t="s">
        <v>15</v>
      </c>
      <c r="D1" t="s">
        <v>20</v>
      </c>
      <c r="E1" t="s">
        <v>25</v>
      </c>
    </row>
    <row r="2" spans="1:5">
      <c r="A2" t="s">
        <v>16</v>
      </c>
      <c r="B2" t="s">
        <v>17</v>
      </c>
      <c r="D2" t="s">
        <v>21</v>
      </c>
      <c r="E2" t="s">
        <v>26</v>
      </c>
    </row>
    <row r="3" spans="1:5">
      <c r="A3" t="s">
        <v>18</v>
      </c>
      <c r="B3" t="s">
        <v>19</v>
      </c>
      <c r="D3" t="s">
        <v>22</v>
      </c>
      <c r="E3" t="s">
        <v>29</v>
      </c>
    </row>
    <row r="4" spans="1:5">
      <c r="A4" t="s">
        <v>31</v>
      </c>
      <c r="B4" t="s">
        <v>32</v>
      </c>
      <c r="D4" t="s">
        <v>23</v>
      </c>
      <c r="E4" t="s">
        <v>27</v>
      </c>
    </row>
    <row r="5" spans="1:5">
      <c r="D5" t="s">
        <v>24</v>
      </c>
      <c r="E5" t="s">
        <v>28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管理者_ログイン画面</vt:lpstr>
      <vt:lpstr>定義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智之青木</dc:creator>
  <cp:lastModifiedBy>青木 智之</cp:lastModifiedBy>
  <cp:lastPrinted>2025-08-26T21:48:05Z</cp:lastPrinted>
  <dcterms:created xsi:type="dcterms:W3CDTF">2015-06-05T18:19:34Z</dcterms:created>
  <dcterms:modified xsi:type="dcterms:W3CDTF">2025-09-01T14:56:21Z</dcterms:modified>
</cp:coreProperties>
</file>